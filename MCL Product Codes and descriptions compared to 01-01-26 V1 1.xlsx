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Product Development\Analysis\"/>
    </mc:Choice>
  </mc:AlternateContent>
  <xr:revisionPtr revIDLastSave="0" documentId="8_{E7E0FBD8-FE2B-4648-B36B-BE9E020E2444}" xr6:coauthVersionLast="47" xr6:coauthVersionMax="47" xr10:uidLastSave="{00000000-0000-0000-0000-000000000000}"/>
  <bookViews>
    <workbookView xWindow="300" yWindow="2160" windowWidth="16070" windowHeight="15450" tabRatio="912" firstSheet="10" activeTab="14" xr2:uid="{00000000-000D-0000-FFFF-FFFF00000000}"/>
  </bookViews>
  <sheets>
    <sheet name="All Producrt Codes" sheetId="1" r:id="rId1"/>
    <sheet name="Cascade Alerts" sheetId="14" r:id="rId2"/>
    <sheet name="Property" sheetId="12" r:id="rId3"/>
    <sheet name="CreditXpert" sheetId="4" r:id="rId4"/>
    <sheet name="Flood" sheetId="5" r:id="rId5"/>
    <sheet name="Fraud" sheetId="6" r:id="rId6"/>
    <sheet name="Other Verifications" sheetId="7" r:id="rId7"/>
    <sheet name="FICO" sheetId="19" r:id="rId8"/>
    <sheet name="Integration Fees" sheetId="22" r:id="rId9"/>
    <sheet name="ScoreNavigator" sheetId="20" r:id="rId10"/>
    <sheet name="Credit Reports" sheetId="8" r:id="rId11"/>
    <sheet name="CAM Credit Reports" sheetId="18" r:id="rId12"/>
    <sheet name="Credit Report Units" sheetId="17" r:id="rId13"/>
    <sheet name="Prequal Reports" sheetId="9" r:id="rId14"/>
    <sheet name="Since 01-01-2026" sheetId="23" r:id="rId15"/>
    <sheet name="TRV" sheetId="10" r:id="rId16"/>
    <sheet name="QC" sheetId="21" r:id="rId17"/>
    <sheet name="SSN Verification" sheetId="11" r:id="rId18"/>
    <sheet name="UDM" sheetId="3" r:id="rId19"/>
    <sheet name="VOIE" sheetId="2" r:id="rId20"/>
    <sheet name="VOE Customers" sheetId="15" r:id="rId21"/>
    <sheet name="Business Reports" sheetId="13" r:id="rId22"/>
    <sheet name="Fees" sheetId="16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4" l="1"/>
  <c r="G3" i="14"/>
  <c r="G4" i="14"/>
  <c r="G5" i="14"/>
  <c r="G6" i="14"/>
  <c r="G7" i="14"/>
  <c r="G1" i="14"/>
  <c r="F31" i="2" l="1"/>
  <c r="D31" i="2"/>
  <c r="F134" i="8"/>
  <c r="D134" i="8"/>
  <c r="F16" i="7"/>
  <c r="F17" i="7"/>
  <c r="F18" i="7"/>
  <c r="F19" i="7"/>
  <c r="D15" i="7"/>
  <c r="D16" i="7"/>
  <c r="D17" i="7"/>
  <c r="D18" i="7"/>
  <c r="D19" i="7"/>
  <c r="F33" i="2"/>
  <c r="F29" i="2"/>
  <c r="F32" i="2"/>
  <c r="D33" i="2"/>
  <c r="D32" i="2"/>
  <c r="F7" i="12"/>
  <c r="D4" i="12"/>
  <c r="D5" i="12"/>
  <c r="D6" i="12"/>
  <c r="D7" i="12"/>
  <c r="F31" i="8"/>
  <c r="D31" i="8"/>
  <c r="D266" i="8"/>
  <c r="F266" i="8"/>
  <c r="D217" i="8"/>
  <c r="F217" i="8"/>
  <c r="D211" i="8"/>
  <c r="F211" i="8"/>
  <c r="D142" i="8"/>
  <c r="F142" i="8"/>
  <c r="D141" i="8"/>
  <c r="F141" i="8"/>
  <c r="D137" i="8"/>
  <c r="F137" i="8"/>
  <c r="D29" i="8"/>
  <c r="F29" i="8"/>
  <c r="D28" i="8"/>
  <c r="F28" i="8"/>
  <c r="F265" i="8"/>
  <c r="D265" i="8"/>
  <c r="D159" i="8"/>
  <c r="F159" i="8"/>
  <c r="D161" i="8"/>
  <c r="F161" i="8"/>
  <c r="D162" i="8"/>
  <c r="F162" i="8"/>
  <c r="D163" i="8"/>
  <c r="F163" i="8"/>
  <c r="D173" i="8"/>
  <c r="F173" i="8"/>
  <c r="D175" i="8"/>
  <c r="F175" i="8"/>
  <c r="D179" i="8"/>
  <c r="F179" i="8"/>
  <c r="D180" i="8"/>
  <c r="F180" i="8"/>
  <c r="D182" i="8"/>
  <c r="F182" i="8"/>
  <c r="D183" i="8"/>
  <c r="F183" i="8"/>
  <c r="D184" i="8"/>
  <c r="F184" i="8"/>
  <c r="D187" i="8"/>
  <c r="F187" i="8"/>
  <c r="D188" i="8"/>
  <c r="F188" i="8"/>
  <c r="D189" i="8"/>
  <c r="F189" i="8"/>
  <c r="D192" i="8"/>
  <c r="F192" i="8"/>
  <c r="D194" i="8"/>
  <c r="F194" i="8"/>
  <c r="D195" i="8"/>
  <c r="F195" i="8"/>
  <c r="D197" i="8"/>
  <c r="F197" i="8"/>
  <c r="D199" i="8"/>
  <c r="F199" i="8"/>
  <c r="D200" i="8"/>
  <c r="F200" i="8"/>
  <c r="D201" i="8"/>
  <c r="F201" i="8"/>
  <c r="D202" i="8"/>
  <c r="F202" i="8"/>
  <c r="F158" i="8"/>
  <c r="D158" i="8"/>
  <c r="F54" i="8"/>
  <c r="D53" i="8"/>
  <c r="F53" i="8"/>
  <c r="D54" i="8"/>
  <c r="D59" i="8"/>
  <c r="F59" i="8"/>
  <c r="D61" i="8"/>
  <c r="F61" i="8"/>
  <c r="D63" i="8"/>
  <c r="F63" i="8"/>
  <c r="D65" i="8"/>
  <c r="F65" i="8"/>
  <c r="D66" i="8"/>
  <c r="F66" i="8"/>
  <c r="D69" i="8"/>
  <c r="F69" i="8"/>
  <c r="D72" i="8"/>
  <c r="F72" i="8"/>
  <c r="D75" i="8"/>
  <c r="F75" i="8"/>
  <c r="D76" i="8"/>
  <c r="F76" i="8"/>
  <c r="D79" i="8"/>
  <c r="F79" i="8"/>
  <c r="D85" i="8"/>
  <c r="F85" i="8"/>
  <c r="D86" i="8"/>
  <c r="F86" i="8"/>
  <c r="D90" i="8"/>
  <c r="F90" i="8"/>
  <c r="D94" i="8"/>
  <c r="F94" i="8"/>
  <c r="D95" i="8"/>
  <c r="F95" i="8"/>
  <c r="F45" i="8"/>
  <c r="D45" i="8"/>
  <c r="D109" i="8"/>
  <c r="F109" i="8"/>
  <c r="D113" i="8"/>
  <c r="F113" i="8"/>
  <c r="D112" i="8"/>
  <c r="F112" i="8"/>
  <c r="D130" i="8"/>
  <c r="F130" i="8"/>
  <c r="D123" i="8"/>
  <c r="F123" i="8"/>
  <c r="D118" i="8"/>
  <c r="F118" i="8"/>
  <c r="D122" i="8"/>
  <c r="F122" i="8"/>
  <c r="D121" i="8"/>
  <c r="F121" i="8"/>
  <c r="D125" i="8"/>
  <c r="F125" i="8"/>
  <c r="D129" i="8"/>
  <c r="F129" i="8"/>
  <c r="D128" i="8"/>
  <c r="F128" i="8"/>
  <c r="F114" i="8"/>
  <c r="D114" i="8"/>
  <c r="E10" i="14"/>
  <c r="F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1" i="22"/>
  <c r="D1" i="8"/>
  <c r="F1" i="8"/>
  <c r="D2" i="8"/>
  <c r="F2" i="8"/>
  <c r="D3" i="8"/>
  <c r="F3" i="8"/>
  <c r="D4" i="8"/>
  <c r="F4" i="8"/>
  <c r="D5" i="8"/>
  <c r="F5" i="8"/>
  <c r="D6" i="8"/>
  <c r="F6" i="8"/>
  <c r="D12" i="8"/>
  <c r="F12" i="8"/>
  <c r="E3" i="13"/>
  <c r="D49" i="1"/>
  <c r="D50" i="1"/>
  <c r="C3" i="13"/>
  <c r="E2" i="13"/>
  <c r="E1" i="1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30" i="2"/>
  <c r="F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1" i="3"/>
  <c r="F2" i="11"/>
  <c r="F3" i="11"/>
  <c r="F4" i="11"/>
  <c r="F5" i="11"/>
  <c r="F6" i="11"/>
  <c r="F7" i="11"/>
  <c r="F1" i="11"/>
  <c r="E2" i="21"/>
  <c r="E1" i="21"/>
  <c r="E2" i="10"/>
  <c r="E3" i="10"/>
  <c r="E4" i="10"/>
  <c r="E5" i="10"/>
  <c r="E6" i="10"/>
  <c r="E7" i="10"/>
  <c r="E8" i="10"/>
  <c r="E9" i="10"/>
  <c r="E10" i="10"/>
  <c r="E11" i="10"/>
  <c r="E1" i="10"/>
  <c r="F269" i="8"/>
  <c r="F270" i="8"/>
  <c r="F271" i="8"/>
  <c r="F272" i="8"/>
  <c r="F273" i="8"/>
  <c r="F274" i="8"/>
  <c r="F275" i="8"/>
  <c r="F276" i="8"/>
  <c r="F277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38" i="8"/>
  <c r="F239" i="8"/>
  <c r="F240" i="8"/>
  <c r="F243" i="8"/>
  <c r="F241" i="8"/>
  <c r="F242" i="8"/>
  <c r="F244" i="8"/>
  <c r="F245" i="8"/>
  <c r="F246" i="8"/>
  <c r="F247" i="8"/>
  <c r="F248" i="8"/>
  <c r="F249" i="8"/>
  <c r="F231" i="8"/>
  <c r="F232" i="8"/>
  <c r="F233" i="8"/>
  <c r="F234" i="8"/>
  <c r="F235" i="8"/>
  <c r="F236" i="8"/>
  <c r="F237" i="8"/>
  <c r="F220" i="8"/>
  <c r="F221" i="8"/>
  <c r="F222" i="8"/>
  <c r="F223" i="8"/>
  <c r="F224" i="8"/>
  <c r="F225" i="8"/>
  <c r="F226" i="8"/>
  <c r="F227" i="8"/>
  <c r="F228" i="8"/>
  <c r="F229" i="8"/>
  <c r="F230" i="8"/>
  <c r="F7" i="8"/>
  <c r="F8" i="8"/>
  <c r="F10" i="8"/>
  <c r="F9" i="8"/>
  <c r="F11" i="8"/>
  <c r="F30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6" i="8"/>
  <c r="F47" i="8"/>
  <c r="F48" i="8"/>
  <c r="F49" i="8"/>
  <c r="F50" i="8"/>
  <c r="F51" i="8"/>
  <c r="F52" i="8"/>
  <c r="F55" i="8"/>
  <c r="F56" i="8"/>
  <c r="F57" i="8"/>
  <c r="F58" i="8"/>
  <c r="F60" i="8"/>
  <c r="F62" i="8"/>
  <c r="F64" i="8"/>
  <c r="F67" i="8"/>
  <c r="F68" i="8"/>
  <c r="F70" i="8"/>
  <c r="F71" i="8"/>
  <c r="F73" i="8"/>
  <c r="F74" i="8"/>
  <c r="F77" i="8"/>
  <c r="F78" i="8"/>
  <c r="F80" i="8"/>
  <c r="F81" i="8"/>
  <c r="F82" i="8"/>
  <c r="F83" i="8"/>
  <c r="F84" i="8"/>
  <c r="F87" i="8"/>
  <c r="F88" i="8"/>
  <c r="F89" i="8"/>
  <c r="F91" i="8"/>
  <c r="F92" i="8"/>
  <c r="F93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10" i="8"/>
  <c r="F111" i="8"/>
  <c r="F115" i="8"/>
  <c r="F116" i="8"/>
  <c r="F117" i="8"/>
  <c r="F119" i="8"/>
  <c r="F120" i="8"/>
  <c r="F124" i="8"/>
  <c r="F126" i="8"/>
  <c r="F127" i="8"/>
  <c r="F135" i="8"/>
  <c r="F136" i="8"/>
  <c r="F138" i="8"/>
  <c r="F139" i="8"/>
  <c r="F140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60" i="8"/>
  <c r="F164" i="8"/>
  <c r="F165" i="8"/>
  <c r="F166" i="8"/>
  <c r="F167" i="8"/>
  <c r="F168" i="8"/>
  <c r="F169" i="8"/>
  <c r="F170" i="8"/>
  <c r="F171" i="8"/>
  <c r="F172" i="8"/>
  <c r="F174" i="8"/>
  <c r="F176" i="8"/>
  <c r="F177" i="8"/>
  <c r="F178" i="8"/>
  <c r="F181" i="8"/>
  <c r="F185" i="8"/>
  <c r="F186" i="8"/>
  <c r="F190" i="8"/>
  <c r="F191" i="8"/>
  <c r="F193" i="8"/>
  <c r="F196" i="8"/>
  <c r="F198" i="8"/>
  <c r="F203" i="8"/>
  <c r="F204" i="8"/>
  <c r="F205" i="8"/>
  <c r="F206" i="8"/>
  <c r="F207" i="8"/>
  <c r="F208" i="8"/>
  <c r="F209" i="8"/>
  <c r="F210" i="8"/>
  <c r="F213" i="8"/>
  <c r="F214" i="8"/>
  <c r="F215" i="8"/>
  <c r="F216" i="8"/>
  <c r="F250" i="8"/>
  <c r="F267" i="8"/>
  <c r="F212" i="8"/>
  <c r="F131" i="8"/>
  <c r="F133" i="8"/>
  <c r="F132" i="8"/>
  <c r="F218" i="8"/>
  <c r="F219" i="8"/>
  <c r="F268" i="8"/>
  <c r="E2" i="20"/>
  <c r="E3" i="20"/>
  <c r="E1" i="20"/>
  <c r="E1" i="19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" i="7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1" i="6"/>
  <c r="F2" i="5"/>
  <c r="F3" i="5"/>
  <c r="F4" i="5"/>
  <c r="F5" i="5"/>
  <c r="F6" i="5"/>
  <c r="F7" i="5"/>
  <c r="F8" i="5"/>
  <c r="F9" i="5"/>
  <c r="F10" i="5"/>
  <c r="F11" i="5"/>
  <c r="F12" i="5"/>
  <c r="F1" i="5"/>
  <c r="F2" i="4"/>
  <c r="F3" i="4"/>
  <c r="F4" i="4"/>
  <c r="F5" i="4"/>
  <c r="F1" i="4"/>
  <c r="F2" i="12"/>
  <c r="F3" i="12"/>
  <c r="F4" i="12"/>
  <c r="F5" i="12"/>
  <c r="F6" i="12"/>
  <c r="F1" i="12"/>
  <c r="E2" i="14"/>
  <c r="E3" i="14"/>
  <c r="E4" i="14"/>
  <c r="E5" i="14"/>
  <c r="E6" i="14"/>
  <c r="E7" i="14"/>
  <c r="E8" i="14"/>
  <c r="E1" i="1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2" i="1"/>
  <c r="C2" i="21"/>
  <c r="C1" i="21"/>
  <c r="C9" i="10"/>
  <c r="C10" i="10"/>
  <c r="C11" i="10"/>
  <c r="D6" i="11"/>
  <c r="D7" i="11"/>
  <c r="D22" i="2"/>
  <c r="C2" i="20"/>
  <c r="C3" i="20"/>
  <c r="C1" i="20"/>
  <c r="C1" i="19"/>
  <c r="D2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9" i="2"/>
  <c r="D30" i="2"/>
  <c r="C1" i="3"/>
  <c r="C2" i="14"/>
  <c r="C3" i="14"/>
  <c r="C2" i="13"/>
  <c r="C1" i="1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D2" i="11"/>
  <c r="D3" i="11"/>
  <c r="D4" i="11"/>
  <c r="D5" i="11"/>
  <c r="D1" i="11"/>
  <c r="C2" i="10"/>
  <c r="C3" i="10"/>
  <c r="C4" i="10"/>
  <c r="C5" i="10"/>
  <c r="C6" i="10"/>
  <c r="C7" i="10"/>
  <c r="C8" i="10"/>
  <c r="C1" i="10"/>
  <c r="D269" i="8"/>
  <c r="D270" i="8"/>
  <c r="D271" i="8"/>
  <c r="D272" i="8"/>
  <c r="D273" i="8"/>
  <c r="D274" i="8"/>
  <c r="D275" i="8"/>
  <c r="D276" i="8"/>
  <c r="D277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38" i="8"/>
  <c r="D239" i="8"/>
  <c r="D240" i="8"/>
  <c r="D243" i="8"/>
  <c r="D241" i="8"/>
  <c r="D242" i="8"/>
  <c r="D244" i="8"/>
  <c r="D245" i="8"/>
  <c r="D246" i="8"/>
  <c r="D247" i="8"/>
  <c r="D248" i="8"/>
  <c r="D249" i="8"/>
  <c r="D231" i="8"/>
  <c r="D232" i="8"/>
  <c r="D233" i="8"/>
  <c r="D234" i="8"/>
  <c r="D235" i="8"/>
  <c r="D236" i="8"/>
  <c r="D237" i="8"/>
  <c r="D220" i="8"/>
  <c r="D221" i="8"/>
  <c r="D222" i="8"/>
  <c r="D223" i="8"/>
  <c r="D224" i="8"/>
  <c r="D225" i="8"/>
  <c r="D226" i="8"/>
  <c r="D227" i="8"/>
  <c r="D228" i="8"/>
  <c r="D229" i="8"/>
  <c r="D230" i="8"/>
  <c r="D7" i="8"/>
  <c r="D8" i="8"/>
  <c r="D10" i="8"/>
  <c r="D9" i="8"/>
  <c r="D11" i="8"/>
  <c r="D30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6" i="8"/>
  <c r="D47" i="8"/>
  <c r="D48" i="8"/>
  <c r="D49" i="8"/>
  <c r="D50" i="8"/>
  <c r="D51" i="8"/>
  <c r="D52" i="8"/>
  <c r="D55" i="8"/>
  <c r="D56" i="8"/>
  <c r="D57" i="8"/>
  <c r="D58" i="8"/>
  <c r="D60" i="8"/>
  <c r="D62" i="8"/>
  <c r="D64" i="8"/>
  <c r="D67" i="8"/>
  <c r="D68" i="8"/>
  <c r="D70" i="8"/>
  <c r="D71" i="8"/>
  <c r="D73" i="8"/>
  <c r="D74" i="8"/>
  <c r="D77" i="8"/>
  <c r="D78" i="8"/>
  <c r="D80" i="8"/>
  <c r="D81" i="8"/>
  <c r="D82" i="8"/>
  <c r="D83" i="8"/>
  <c r="D84" i="8"/>
  <c r="D87" i="8"/>
  <c r="D88" i="8"/>
  <c r="D89" i="8"/>
  <c r="D91" i="8"/>
  <c r="D92" i="8"/>
  <c r="D93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10" i="8"/>
  <c r="D111" i="8"/>
  <c r="D115" i="8"/>
  <c r="D116" i="8"/>
  <c r="D117" i="8"/>
  <c r="D119" i="8"/>
  <c r="D120" i="8"/>
  <c r="D124" i="8"/>
  <c r="D126" i="8"/>
  <c r="D127" i="8"/>
  <c r="D135" i="8"/>
  <c r="D136" i="8"/>
  <c r="D138" i="8"/>
  <c r="D139" i="8"/>
  <c r="D140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60" i="8"/>
  <c r="D164" i="8"/>
  <c r="D165" i="8"/>
  <c r="D166" i="8"/>
  <c r="D167" i="8"/>
  <c r="D168" i="8"/>
  <c r="D169" i="8"/>
  <c r="D170" i="8"/>
  <c r="D171" i="8"/>
  <c r="D172" i="8"/>
  <c r="D174" i="8"/>
  <c r="D176" i="8"/>
  <c r="D177" i="8"/>
  <c r="D178" i="8"/>
  <c r="D181" i="8"/>
  <c r="D185" i="8"/>
  <c r="D186" i="8"/>
  <c r="D190" i="8"/>
  <c r="D191" i="8"/>
  <c r="D193" i="8"/>
  <c r="D196" i="8"/>
  <c r="D198" i="8"/>
  <c r="D203" i="8"/>
  <c r="D204" i="8"/>
  <c r="D205" i="8"/>
  <c r="D206" i="8"/>
  <c r="D207" i="8"/>
  <c r="D208" i="8"/>
  <c r="D209" i="8"/>
  <c r="D210" i="8"/>
  <c r="D213" i="8"/>
  <c r="D214" i="8"/>
  <c r="D215" i="8"/>
  <c r="D216" i="8"/>
  <c r="D250" i="8"/>
  <c r="D267" i="8"/>
  <c r="D212" i="8"/>
  <c r="D131" i="8"/>
  <c r="D133" i="8"/>
  <c r="D132" i="8"/>
  <c r="D218" i="8"/>
  <c r="D219" i="8"/>
  <c r="D268" i="8"/>
  <c r="D2" i="7"/>
  <c r="D3" i="7"/>
  <c r="D4" i="7"/>
  <c r="D5" i="7"/>
  <c r="D6" i="7"/>
  <c r="D7" i="7"/>
  <c r="D8" i="7"/>
  <c r="D9" i="7"/>
  <c r="D10" i="7"/>
  <c r="D11" i="7"/>
  <c r="D12" i="7"/>
  <c r="D13" i="7"/>
  <c r="D14" i="7"/>
  <c r="D1" i="7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1" i="6"/>
  <c r="D2" i="5"/>
  <c r="D3" i="5"/>
  <c r="D4" i="5"/>
  <c r="D5" i="5"/>
  <c r="D6" i="5"/>
  <c r="D7" i="5"/>
  <c r="D8" i="5"/>
  <c r="D9" i="5"/>
  <c r="D10" i="5"/>
  <c r="D11" i="5"/>
  <c r="D12" i="5"/>
  <c r="D1" i="5"/>
  <c r="D2" i="4"/>
  <c r="D3" i="4"/>
  <c r="D4" i="4"/>
  <c r="D5" i="4"/>
  <c r="D1" i="4"/>
  <c r="D2" i="12"/>
  <c r="D3" i="12"/>
  <c r="D1" i="12"/>
  <c r="C4" i="14"/>
  <c r="C5" i="14"/>
  <c r="C6" i="14"/>
  <c r="C7" i="14"/>
  <c r="C8" i="14"/>
  <c r="C1" i="14"/>
  <c r="F26" i="17"/>
  <c r="F27" i="17"/>
  <c r="F28" i="17"/>
  <c r="F29" i="17"/>
  <c r="F30" i="17"/>
  <c r="F31" i="17"/>
  <c r="F32" i="17"/>
  <c r="F33" i="17"/>
  <c r="F34" i="17"/>
  <c r="B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1" i="18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" i="9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1" i="17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1" i="17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" i="9"/>
</calcChain>
</file>

<file path=xl/sharedStrings.xml><?xml version="1.0" encoding="utf-8"?>
<sst xmlns="http://schemas.openxmlformats.org/spreadsheetml/2006/main" count="3006" uniqueCount="1207">
  <si>
    <t xml:space="preserve">COPIED FILE FEE                                             </t>
  </si>
  <si>
    <t xml:space="preserve">AUS ORDER CREDIT                                            </t>
  </si>
  <si>
    <t xml:space="preserve">BUNDLED CREDIT FEE                                          </t>
  </si>
  <si>
    <t xml:space="preserve">ADDSPOUSE                                                   </t>
  </si>
  <si>
    <t xml:space="preserve">REVERIFY                                                    </t>
  </si>
  <si>
    <t xml:space="preserve">ADD2BJ                                                      </t>
  </si>
  <si>
    <t xml:space="preserve">FLOOD-LIFE                                                  </t>
  </si>
  <si>
    <t xml:space="preserve">ADD1BJ                                                      </t>
  </si>
  <si>
    <t xml:space="preserve">MANUALVOE                                                   </t>
  </si>
  <si>
    <t xml:space="preserve">MISC                                                        </t>
  </si>
  <si>
    <t xml:space="preserve">MERGED REPORT FEE - TX584 HIGHLANDS RESIDENTIAL             </t>
  </si>
  <si>
    <t xml:space="preserve">FLOOD                                                       </t>
  </si>
  <si>
    <t xml:space="preserve">UDN-EXP/EQF/TUC/JNT                                         </t>
  </si>
  <si>
    <t xml:space="preserve">UDN-EQF                                                     </t>
  </si>
  <si>
    <t xml:space="preserve">DELETE DUPLICATES                                           </t>
  </si>
  <si>
    <t xml:space="preserve">FLOOD-HMDA                                                  </t>
  </si>
  <si>
    <t xml:space="preserve">UDN-EXP/JNT                                                 </t>
  </si>
  <si>
    <t xml:space="preserve">FLOOD-HMDA-RUSH-LIFE                                        </t>
  </si>
  <si>
    <t xml:space="preserve">TRADE UPDATE (4)                                            </t>
  </si>
  <si>
    <t xml:space="preserve">COPIED FILE FEE - C22404 MY LOAN UNDERWRITERS ONLY          </t>
  </si>
  <si>
    <t xml:space="preserve">COPIED FILE FEE - C22529 OPTION FUNDING ONLY                </t>
  </si>
  <si>
    <t xml:space="preserve">EXP/EQF-SOFT                                                </t>
  </si>
  <si>
    <t xml:space="preserve">ESSA89                                                      </t>
  </si>
  <si>
    <t xml:space="preserve">COPIED FILE FEE - MP110 METRO ISLAND MORTGAGE ONLY          </t>
  </si>
  <si>
    <t xml:space="preserve">UNDETERMINED                                                </t>
  </si>
  <si>
    <t xml:space="preserve">EXP/TUC/JNT-SOFT                                            </t>
  </si>
  <si>
    <t xml:space="preserve">COPIED FILE FEE - CENTIER BANK JW111                        </t>
  </si>
  <si>
    <t xml:space="preserve">COPIED FILE FEE - ALTITUDE FINANCIAL FA114                  </t>
  </si>
  <si>
    <t xml:space="preserve">CASCADE ALERTS STANDARD                                     </t>
  </si>
  <si>
    <t xml:space="preserve">A-PLATINUM FRAUD                                            </t>
  </si>
  <si>
    <t xml:space="preserve">RAPID RESCORE JOINT                                         </t>
  </si>
  <si>
    <t xml:space="preserve">WHAT-IF                                                     </t>
  </si>
  <si>
    <t xml:space="preserve">WAYFINDER-C                                                 </t>
  </si>
  <si>
    <t xml:space="preserve">CALYX DIRECT-ORDER                                          </t>
  </si>
  <si>
    <t xml:space="preserve">ADD1BI                                                      </t>
  </si>
  <si>
    <t xml:space="preserve">LIENS AND JUDGMENTS REPORT                                  </t>
  </si>
  <si>
    <t xml:space="preserve">DELETED BORROWER                                            </t>
  </si>
  <si>
    <t xml:space="preserve">ESIGNATURE                                                  </t>
  </si>
  <si>
    <t xml:space="preserve">FMACI                                                       </t>
  </si>
  <si>
    <t xml:space="preserve">CALYX ORDER                                                 </t>
  </si>
  <si>
    <t xml:space="preserve">EXP/EQF/TUC-SOFT                                            </t>
  </si>
  <si>
    <t xml:space="preserve">FINICITY60                                                  </t>
  </si>
  <si>
    <t xml:space="preserve">MORTGAGEBOT-RETRIEVE                                        </t>
  </si>
  <si>
    <t xml:space="preserve">A - FBC FRAUD                                               </t>
  </si>
  <si>
    <t xml:space="preserve">EXP/JNT-SOFT                                                </t>
  </si>
  <si>
    <t xml:space="preserve">CREDITANALYZER-B                                            </t>
  </si>
  <si>
    <t xml:space="preserve">COPIED FILE FEE - FBC MORTGAGE AND ALL SUBS ONLY            </t>
  </si>
  <si>
    <t xml:space="preserve">COPIED FILE FEE - LIBERTY HOME LOANS 71200                  </t>
  </si>
  <si>
    <t xml:space="preserve">COPIED FILE FEE - TRAILBLAZER MORTGAGE 71168                </t>
  </si>
  <si>
    <t xml:space="preserve">UPATED PUBLIC RECORDS (1)                                   </t>
  </si>
  <si>
    <t xml:space="preserve">EPASS-ORDER                                                 </t>
  </si>
  <si>
    <t xml:space="preserve">TRADE UPDATE (1-4)                                          </t>
  </si>
  <si>
    <t xml:space="preserve">UNMERGE FEE                                                 </t>
  </si>
  <si>
    <t xml:space="preserve">Liens and Judgments/B1P0                                    </t>
  </si>
  <si>
    <t xml:space="preserve">POSTBACK:ADV-MFPRECONFIRM-A117D                             </t>
  </si>
  <si>
    <t xml:space="preserve">Tax Transcript ORDER (3Y)                                   </t>
  </si>
  <si>
    <t xml:space="preserve">--MISC--                                                    </t>
  </si>
  <si>
    <t xml:space="preserve">POSTBACK:BDV-BANK ACCOUNT-V117D                             </t>
  </si>
  <si>
    <t xml:space="preserve">EMPLOYERS12MONTHS                                           </t>
  </si>
  <si>
    <t xml:space="preserve">COPIED FILE FEE - OPTION FUNDING C72529 ONLY                </t>
  </si>
  <si>
    <t xml:space="preserve">MORTGAGESELECTALL                                           </t>
  </si>
  <si>
    <t xml:space="preserve">EQF/TUC-SOFT                                                </t>
  </si>
  <si>
    <t xml:space="preserve">ACCOUNTCHEK90                                               </t>
  </si>
  <si>
    <t xml:space="preserve">PUB EXP FILE                                                </t>
  </si>
  <si>
    <t xml:space="preserve">LaserCredit-RETRIEVE                                        </t>
  </si>
  <si>
    <t xml:space="preserve">COPIED FILE FEE - 71180 HOMEOWNERS MORTGAGE ONLY            </t>
  </si>
  <si>
    <t xml:space="preserve">MSAEMPLOYMENT                                               </t>
  </si>
  <si>
    <t xml:space="preserve">MERGED REPORT FEE - 71153 CHRISTENSEN FINANCIAL             </t>
  </si>
  <si>
    <t xml:space="preserve">FLOOD-RUSH                                                  </t>
  </si>
  <si>
    <t xml:space="preserve">CCP                                                         </t>
  </si>
  <si>
    <t xml:space="preserve">SWAP APPLICANTS                                             </t>
  </si>
  <si>
    <t xml:space="preserve">RUSH FEE                                                    </t>
  </si>
  <si>
    <t xml:space="preserve">FAMM-B                                                      </t>
  </si>
  <si>
    <t xml:space="preserve">POSTBACK:ADVCUSTOM2-A142D                                   </t>
  </si>
  <si>
    <t xml:space="preserve">BUS_CREDIT                                                  </t>
  </si>
  <si>
    <t xml:space="preserve">UPDATED PUBLIC RECORDS (1)                                  </t>
  </si>
  <si>
    <t xml:space="preserve">MONTHLY MINIMUM                                             </t>
  </si>
  <si>
    <t xml:space="preserve">INCOMEVERIFY                                                </t>
  </si>
  <si>
    <t xml:space="preserve">FMACJ                                                       </t>
  </si>
  <si>
    <t xml:space="preserve">BUSINESS REPORT                                             </t>
  </si>
  <si>
    <t xml:space="preserve">CONSUMER_IDV                                                </t>
  </si>
  <si>
    <t xml:space="preserve">EMPLOYERS24MONTHS                                           </t>
  </si>
  <si>
    <t xml:space="preserve">EXP/EQF/TUC/JNT-SOFT                                        </t>
  </si>
  <si>
    <t xml:space="preserve">UPDATED TRADE (1)                                           </t>
  </si>
  <si>
    <t xml:space="preserve">EXPVERIFYPREMIUM                                            </t>
  </si>
  <si>
    <t xml:space="preserve">MSAINCOME                                                   </t>
  </si>
  <si>
    <t xml:space="preserve">COPIED FILE FEE - 9011 SUN WEST MORTGAGE ONLY               </t>
  </si>
  <si>
    <t xml:space="preserve">RMCR BANKRUPTCY                                             </t>
  </si>
  <si>
    <t xml:space="preserve">MORTGAGE BUILDER-ORDER                                      </t>
  </si>
  <si>
    <t xml:space="preserve">COPIED FILE FEE - 71187 MHC MORTGAGE LLC ONLY               </t>
  </si>
  <si>
    <t xml:space="preserve">MANUALSELFEMPLOYED                                          </t>
  </si>
  <si>
    <t xml:space="preserve">ADV REPORT                                                  </t>
  </si>
  <si>
    <t xml:space="preserve">DISCLOSURE/MAIL FEE                                         </t>
  </si>
  <si>
    <t xml:space="preserve">CANADIAN CREDIT REPORT                                      </t>
  </si>
  <si>
    <t xml:space="preserve">MERGED REPORT FEE - SUN WEST MORTGAGE 9011                  </t>
  </si>
  <si>
    <t xml:space="preserve">COPIED FILE FEE - WATERMARK CAPITAL PR156                   </t>
  </si>
  <si>
    <t xml:space="preserve">UDN-EXP/EQF                                                 </t>
  </si>
  <si>
    <t xml:space="preserve">SURCHARGE                                                   </t>
  </si>
  <si>
    <t xml:space="preserve">TUC                                                         </t>
  </si>
  <si>
    <t xml:space="preserve">NODOC RESCORE FEE                                           </t>
  </si>
  <si>
    <t xml:space="preserve">INTERFACE-RETRIEVE                                          </t>
  </si>
  <si>
    <t xml:space="preserve">FOREIGN REPORT                                              </t>
  </si>
  <si>
    <t xml:space="preserve">RUSH CHARGE                                                 </t>
  </si>
  <si>
    <t xml:space="preserve">TRACEPLUS                                                   </t>
  </si>
  <si>
    <t xml:space="preserve">POSTBACK:PERSON-SSNVER-89-F117D                             </t>
  </si>
  <si>
    <t xml:space="preserve">UDN-TUC/JNT                                                 </t>
  </si>
  <si>
    <t xml:space="preserve">COPIED FILE FEE - EVERGREEN HOME LOANS PR165                </t>
  </si>
  <si>
    <t xml:space="preserve">TRADE UPDATE INCLUDING VOM (1-3)                            </t>
  </si>
  <si>
    <t xml:space="preserve">MERGED REPORT FEE - 9011 SUN WEST MORTGAGE                  </t>
  </si>
  <si>
    <t xml:space="preserve">CREDITANALYZER-C                                            </t>
  </si>
  <si>
    <t xml:space="preserve">MORTGAGEDIRECTOR-ORDER                                      </t>
  </si>
  <si>
    <t xml:space="preserve">TRADE UPDATE INCLUDING VOM (4 OR MORE)                      </t>
  </si>
  <si>
    <t xml:space="preserve">COPIED FILE FEE - MORTGAGE LENDERS INVSTMNT 71164           </t>
  </si>
  <si>
    <t xml:space="preserve">REPORT - SCORE LIST                                         </t>
  </si>
  <si>
    <t xml:space="preserve">SITEXPRO - VOLUNTARY LIENS                                  </t>
  </si>
  <si>
    <t xml:space="preserve">LenderHomepage-ORDER                                        </t>
  </si>
  <si>
    <t xml:space="preserve">PROPERTY_HISTORY                                            </t>
  </si>
  <si>
    <t xml:space="preserve">DELETE BORROWER                                             </t>
  </si>
  <si>
    <t xml:space="preserve">EXP/EQF/TUC/JNT                                             </t>
  </si>
  <si>
    <t xml:space="preserve">CL_HVE                                                      </t>
  </si>
  <si>
    <t xml:space="preserve">FAMM-J                                                      </t>
  </si>
  <si>
    <t xml:space="preserve">ADDCOB1B                                                    </t>
  </si>
  <si>
    <t xml:space="preserve">DTEC                                                        </t>
  </si>
  <si>
    <t xml:space="preserve">UDN-ADDCOB                                                  </t>
  </si>
  <si>
    <t xml:space="preserve">POSTBACK:ADV-120 EXPERT-A106D                               </t>
  </si>
  <si>
    <t xml:space="preserve">UDN-EXP                                                     </t>
  </si>
  <si>
    <t xml:space="preserve">POSTBACK:BDV-COMPANY C1-V118D                               </t>
  </si>
  <si>
    <t xml:space="preserve">COPIED FILE FEE - FBC MORTGAGE AND ALL SUBS                 </t>
  </si>
  <si>
    <t xml:space="preserve">TAX RETURN VERIFICATION - 2 YEAR                            </t>
  </si>
  <si>
    <t xml:space="preserve">ACCOUNTCHEK60                                               </t>
  </si>
  <si>
    <t xml:space="preserve">COPIED FILE FEE - SUN WEST MORTGAGE 9011                    </t>
  </si>
  <si>
    <t xml:space="preserve">SUPPLEMENT CHARGE                                           </t>
  </si>
  <si>
    <t xml:space="preserve">RAPID RESCORE INDIVIDUAL                                    </t>
  </si>
  <si>
    <t xml:space="preserve">TWN TRANSACTIONAL FEE                                       </t>
  </si>
  <si>
    <t xml:space="preserve">MERGED REPORT FEE - FBC MORTGAGE AND ALL SUBS ONLY          </t>
  </si>
  <si>
    <t xml:space="preserve">MORTGAGEFLEX-RETRIEVE                                       </t>
  </si>
  <si>
    <t xml:space="preserve">ACCOUNTCHEK30                                               </t>
  </si>
  <si>
    <t xml:space="preserve">POSTBACK:BDV-COMPANY C10-V111D                              </t>
  </si>
  <si>
    <t xml:space="preserve">CALYX DIRECT-RETRIEVE                                       </t>
  </si>
  <si>
    <t xml:space="preserve">CC TRAN FEE                                                 </t>
  </si>
  <si>
    <t xml:space="preserve">UPGRADE COPY                                                </t>
  </si>
  <si>
    <t xml:space="preserve">EQF                                                         </t>
  </si>
  <si>
    <t xml:space="preserve">EMPLOYHIST                                                  </t>
  </si>
  <si>
    <t xml:space="preserve">EQF/JNT                                                     </t>
  </si>
  <si>
    <t xml:space="preserve">SSA89                                                       </t>
  </si>
  <si>
    <t xml:space="preserve">EXP/TUC/JNT                                                 </t>
  </si>
  <si>
    <t xml:space="preserve">TRADE UPDATE (5)                                            </t>
  </si>
  <si>
    <t xml:space="preserve">TRADE UPDATE (6+)                                           </t>
  </si>
  <si>
    <t xml:space="preserve">FLOODRECERT                                                 </t>
  </si>
  <si>
    <t xml:space="preserve">EMPLOYVERIFY                                                </t>
  </si>
  <si>
    <t xml:space="preserve">THIRD PARTY AUTOMATED VOE FEE                               </t>
  </si>
  <si>
    <t xml:space="preserve">EXP/TUC-SOFT                                                </t>
  </si>
  <si>
    <t xml:space="preserve">ADV120_EXPERT                                               </t>
  </si>
  <si>
    <t xml:space="preserve">CLOSED LOAN ADJUSTMENT                                      </t>
  </si>
  <si>
    <t xml:space="preserve">POSTBACK:PERSON-BLJSUP-F191D                                </t>
  </si>
  <si>
    <t xml:space="preserve">POINT WEBCONNECT-ORDER                                      </t>
  </si>
  <si>
    <t xml:space="preserve">LENDER'S OFFICE-ORDER                                       </t>
  </si>
  <si>
    <t xml:space="preserve">CREDIT ATTRIBUTES                                           </t>
  </si>
  <si>
    <t xml:space="preserve">COPIED FILE FEE - METRO ISLAND MORTGAGE MP110               </t>
  </si>
  <si>
    <t xml:space="preserve">MERGED REPORT FEE - FBC MORTGAGE AND ALL SUBS               </t>
  </si>
  <si>
    <t xml:space="preserve">UDN-EXP/EQF/JNT                                             </t>
  </si>
  <si>
    <t xml:space="preserve">MERGED REPORT FEE - 71137 PARK SQUARE HM MTG ONLY           </t>
  </si>
  <si>
    <t xml:space="preserve">MERGED REPORT FEE - HOMEOWNERS MTG 71180                    </t>
  </si>
  <si>
    <t xml:space="preserve">RAPID RESCORE 1 TRADE/1 BUREAU-IND                          </t>
  </si>
  <si>
    <t xml:space="preserve">UNDORMCR                                                    </t>
  </si>
  <si>
    <t xml:space="preserve">BYTE-ORDER                                                  </t>
  </si>
  <si>
    <t xml:space="preserve">TUC/JNT                                                     </t>
  </si>
  <si>
    <t xml:space="preserve">ABLNCHARGE                                                  </t>
  </si>
  <si>
    <t xml:space="preserve">INSPECTION FEE                                              </t>
  </si>
  <si>
    <t xml:space="preserve">CANADIAN REPORT                                             </t>
  </si>
  <si>
    <t xml:space="preserve">FLOOD REPORT                                                </t>
  </si>
  <si>
    <t xml:space="preserve">UPDATED PUBLIC RECORDS (3)                                  </t>
  </si>
  <si>
    <t xml:space="preserve">Tax Transcript ORDER (2Y)                                   </t>
  </si>
  <si>
    <t xml:space="preserve">UDN-EQF/TUC                                                 </t>
  </si>
  <si>
    <t xml:space="preserve">COPIED FILE FEE - PR156 WATERMARK CAPITAL ONLY              </t>
  </si>
  <si>
    <t xml:space="preserve">EXPVERIFYREVERIFYVOIE                                       </t>
  </si>
  <si>
    <t xml:space="preserve">EXP-SOFT                                                    </t>
  </si>
  <si>
    <t xml:space="preserve">EXPVERIFYREVERIFYVOE                                        </t>
  </si>
  <si>
    <t xml:space="preserve">DISCLOSURE/MAIL FEE-JNT                                     </t>
  </si>
  <si>
    <t xml:space="preserve">A-MERS/ID INVEST/MPR                                        </t>
  </si>
  <si>
    <t xml:space="preserve">SSA-89 VERIFICATION                                         </t>
  </si>
  <si>
    <t xml:space="preserve">UDN-EXP/TUC                                                 </t>
  </si>
  <si>
    <t xml:space="preserve">DISCLOSURE/MAIL FEE - PER CONSUMER                          </t>
  </si>
  <si>
    <t xml:space="preserve">RAPID RESCORE 1 TRADE/3 BUREAUS-IND                         </t>
  </si>
  <si>
    <t xml:space="preserve">RAPID RESCORE 1 TRADE/3 BUREAUS-JNT                         </t>
  </si>
  <si>
    <t xml:space="preserve">COPIED FILE                                                 </t>
  </si>
  <si>
    <t xml:space="preserve">VOE Reissue                                                 </t>
  </si>
  <si>
    <t xml:space="preserve">MERS_LIEN                                                   </t>
  </si>
  <si>
    <t xml:space="preserve">AUS CREDIT REISSUE                                          </t>
  </si>
  <si>
    <t xml:space="preserve">SECONDARY_USE                                               </t>
  </si>
  <si>
    <t xml:space="preserve">FHLMC DIRECT LPA REISSUE                                    </t>
  </si>
  <si>
    <t xml:space="preserve">REFRESH                                                     </t>
  </si>
  <si>
    <t xml:space="preserve">3P_REISSUE                                                  </t>
  </si>
  <si>
    <t xml:space="preserve">EMPLOYMENT VERIFICATION                                     </t>
  </si>
  <si>
    <t xml:space="preserve">Tax Transcript Interface Fee                                </t>
  </si>
  <si>
    <t xml:space="preserve">INTERFACE FEE                                               </t>
  </si>
  <si>
    <t xml:space="preserve">FLOODLOL                                                    </t>
  </si>
  <si>
    <t xml:space="preserve">UDN-EXP/EQF/TUC                                             </t>
  </si>
  <si>
    <t xml:space="preserve">POINT WEBCONNECT-RETRIEVE                                   </t>
  </si>
  <si>
    <t xml:space="preserve">COPIED FILE FEE - PR165 EVERGREEN HOME LOANS ONLY           </t>
  </si>
  <si>
    <t xml:space="preserve">UDN-EQF/TUC/JNT                                             </t>
  </si>
  <si>
    <t xml:space="preserve">INTEGRA DESTINY-ORDER                                       </t>
  </si>
  <si>
    <t xml:space="preserve">N/A                                                         </t>
  </si>
  <si>
    <t xml:space="preserve">ADV130_EXPERT                                               </t>
  </si>
  <si>
    <t xml:space="preserve">PORTFOLIO REFRESH                                           </t>
  </si>
  <si>
    <t xml:space="preserve">RUSH                                                        </t>
  </si>
  <si>
    <t xml:space="preserve">Tax Transcript 2 YRS                                        </t>
  </si>
  <si>
    <t xml:space="preserve">IBV REPORT                                                  </t>
  </si>
  <si>
    <t xml:space="preserve">COPIED FILE FEE - YS101 RESIDENTIAL MTG NETWORK             </t>
  </si>
  <si>
    <t xml:space="preserve">EXP/EQF/TUC                                                 </t>
  </si>
  <si>
    <t xml:space="preserve">ADD2BI                                                      </t>
  </si>
  <si>
    <t xml:space="preserve">FLOOD-HMDA-LIFE                                             </t>
  </si>
  <si>
    <t xml:space="preserve">EXP                                                         </t>
  </si>
  <si>
    <t xml:space="preserve">TRADE UPDATE (1-5)                                          </t>
  </si>
  <si>
    <t xml:space="preserve">DELETED DUPLICATES                                          </t>
  </si>
  <si>
    <t xml:space="preserve">SSW PAYMENT                                                 </t>
  </si>
  <si>
    <t xml:space="preserve">COPIED FILE FEE - TX584 HIGHLANDS RESIDENTIAL ONLY          </t>
  </si>
  <si>
    <t xml:space="preserve">FINALVOE                                                    </t>
  </si>
  <si>
    <t xml:space="preserve">COPIED FILE FEE - JW111 CENTIER BANK ONLY                   </t>
  </si>
  <si>
    <t xml:space="preserve">COPIED FILE FEE - C72529 OPTION FUNDING ONLY                </t>
  </si>
  <si>
    <t xml:space="preserve">EQF-SOFT                                                    </t>
  </si>
  <si>
    <t xml:space="preserve">COPIED FILE FEE - JET HOMELOANS LLC 71166                   </t>
  </si>
  <si>
    <t xml:space="preserve">TRADE UPDATE                                                </t>
  </si>
  <si>
    <t xml:space="preserve">B-MERS/ID INVEST                                            </t>
  </si>
  <si>
    <t xml:space="preserve">SUPPLEMENT                                                  </t>
  </si>
  <si>
    <t xml:space="preserve">COPIED FILE FEE - 71169 RMC HOME MORTGAGE ONLY              </t>
  </si>
  <si>
    <t xml:space="preserve">AUTOPAY                                                     </t>
  </si>
  <si>
    <t xml:space="preserve">ADDCOB2B                                                    </t>
  </si>
  <si>
    <t xml:space="preserve">UNMERGED REPORT                                             </t>
  </si>
  <si>
    <t xml:space="preserve">ADDCOB                                                      </t>
  </si>
  <si>
    <t xml:space="preserve">INTERFACE FEE (SMARTPAY)                                    </t>
  </si>
  <si>
    <t xml:space="preserve">BYTE-RETRIEVE                                               </t>
  </si>
  <si>
    <t xml:space="preserve">RMCR                                                        </t>
  </si>
  <si>
    <t xml:space="preserve">RESIDENCY VERIFICATION                                      </t>
  </si>
  <si>
    <t xml:space="preserve">UNMERGE REPORT                                              </t>
  </si>
  <si>
    <t xml:space="preserve">SECONDARY USE                                               </t>
  </si>
  <si>
    <t xml:space="preserve">ACCOUNTCHEK1                                                </t>
  </si>
  <si>
    <t xml:space="preserve">MORTGAGEBOT-ORDER                                           </t>
  </si>
  <si>
    <t xml:space="preserve">SOCIAL_SEARCH                                               </t>
  </si>
  <si>
    <t xml:space="preserve">POSTBACK:ADV-120-A103D                                      </t>
  </si>
  <si>
    <t xml:space="preserve">TUC-SOFT                                                    </t>
  </si>
  <si>
    <t xml:space="preserve">POSTBACK:PERSON-SSN-89-ESIGN-F150D                          </t>
  </si>
  <si>
    <t xml:space="preserve">MERGE REPORT FEE                                            </t>
  </si>
  <si>
    <t xml:space="preserve">PARTICIPANT_IDV                                             </t>
  </si>
  <si>
    <t xml:space="preserve">PUBLISHED IMPORT                                            </t>
  </si>
  <si>
    <t xml:space="preserve">COPIED FILE FEE - FA114 ALTITUDE FINANCIAL ONLY             </t>
  </si>
  <si>
    <t xml:space="preserve">UDN-ADD2BI                                                  </t>
  </si>
  <si>
    <t xml:space="preserve">VERIFICATION OF EMPLOYMENT                                  </t>
  </si>
  <si>
    <t xml:space="preserve">TRADE UPDATE (1)                                            </t>
  </si>
  <si>
    <t xml:space="preserve">EXP/JNT                                                     </t>
  </si>
  <si>
    <t xml:space="preserve">BEANSTALK-RETRIEVE                                          </t>
  </si>
  <si>
    <t xml:space="preserve">PRE-QUAL REPORTS                                            </t>
  </si>
  <si>
    <t xml:space="preserve">POSTBACK:ADVCUSTOM1-A141D                                   </t>
  </si>
  <si>
    <t xml:space="preserve">FACTCheck                                                   </t>
  </si>
  <si>
    <t xml:space="preserve">LaserCredit-ORDER                                           </t>
  </si>
  <si>
    <t xml:space="preserve">UDN-EQF/JNT                                                 </t>
  </si>
  <si>
    <t xml:space="preserve">PASS                                                        </t>
  </si>
  <si>
    <t xml:space="preserve">UDN-ADD1BI                                                  </t>
  </si>
  <si>
    <t xml:space="preserve">TUC/JNT-SOFT                                                </t>
  </si>
  <si>
    <t xml:space="preserve">Person and Property/B1P0                                    </t>
  </si>
  <si>
    <t xml:space="preserve">FLOOD-RUSH-LIFE                                             </t>
  </si>
  <si>
    <t xml:space="preserve">SURCHARGE - COMPLIANCE FEE                                  </t>
  </si>
  <si>
    <t xml:space="preserve">EQF/TUC/JNT-SOFT                                            </t>
  </si>
  <si>
    <t xml:space="preserve">MERGED REPORT FEE - 71174 COASTAL LOANS LLC ONLY            </t>
  </si>
  <si>
    <t xml:space="preserve">COPIED FILE FEE - MHC MORTGAGE LLC 71187                    </t>
  </si>
  <si>
    <t xml:space="preserve">MERGED REPORT FEE - COASTAL LOANS LLC 71174                 </t>
  </si>
  <si>
    <t xml:space="preserve">MERGED REPORT FEE - PARK SQUARE HM MTG 71137                </t>
  </si>
  <si>
    <t xml:space="preserve">MERGED REPORT FEE - HIGHLANDS RESIDENTIAL TX584             </t>
  </si>
  <si>
    <t xml:space="preserve">Tax Transcript                                              </t>
  </si>
  <si>
    <t xml:space="preserve">EQF/TUC                                                     </t>
  </si>
  <si>
    <t xml:space="preserve">CANCELLATION CHARGE                                         </t>
  </si>
  <si>
    <t xml:space="preserve">CREDIT                                                      </t>
  </si>
  <si>
    <t xml:space="preserve">Liens and Judgments/B2P0                                    </t>
  </si>
  <si>
    <t xml:space="preserve">MORTGAGE BUILDER-RETRIEVE                                   </t>
  </si>
  <si>
    <t xml:space="preserve">TRADE UPDATE (5+)                                           </t>
  </si>
  <si>
    <t xml:space="preserve">POSTBACK:PERSON-SSNHIST-F118D                               </t>
  </si>
  <si>
    <t xml:space="preserve">ADVCUSTOM_EXPERT                                            </t>
  </si>
  <si>
    <t xml:space="preserve">VERIFICATION OF  MORTGAGE RATING                            </t>
  </si>
  <si>
    <t xml:space="preserve">COPIED FILE FEE - 71168 TRAILBLAZER MORTGAGE ONLY           </t>
  </si>
  <si>
    <t xml:space="preserve">ACQUISITION ALERTS - MORTGAGE INQUIRIES                     </t>
  </si>
  <si>
    <t xml:space="preserve">SITEXPRO - INVOLUNTARY LIENS                                </t>
  </si>
  <si>
    <t xml:space="preserve">COMPARISON REPORT                                           </t>
  </si>
  <si>
    <t xml:space="preserve">INCOMEHIST                                                  </t>
  </si>
  <si>
    <t xml:space="preserve">EXP/TUC                                                     </t>
  </si>
  <si>
    <t xml:space="preserve">MANUALVOI                                                   </t>
  </si>
  <si>
    <t xml:space="preserve">FMAC REISSUE                                                </t>
  </si>
  <si>
    <t xml:space="preserve">FLOODXFER                                                   </t>
  </si>
  <si>
    <t xml:space="preserve">FHLMC DIRECT LQA REISSUE                                    </t>
  </si>
  <si>
    <t xml:space="preserve">RESEARCHEDVOI                                               </t>
  </si>
  <si>
    <t xml:space="preserve">FLEXID                                                      </t>
  </si>
  <si>
    <t xml:space="preserve">OTHERCHARGE                                                 </t>
  </si>
  <si>
    <t xml:space="preserve">INSTANTID                                                   </t>
  </si>
  <si>
    <t xml:space="preserve">MERGED REPORT FEE - JET HOMELOANS LLC 71166                 </t>
  </si>
  <si>
    <t xml:space="preserve">MERGED REPORT FEE - 71109 CERTIFIED MTG PLANNERS            </t>
  </si>
  <si>
    <t xml:space="preserve">EMPLOYER_IDV                                                </t>
  </si>
  <si>
    <t xml:space="preserve">CREDIT SOLUTIONS BUNDLE                                     </t>
  </si>
  <si>
    <t xml:space="preserve">COPIED FILE FEE - 71174 COASTAL LOANS LLC ONLY              </t>
  </si>
  <si>
    <t xml:space="preserve">MERGED REPORT FEE - 71168 TRAILBLAZER MTG ONLY              </t>
  </si>
  <si>
    <t xml:space="preserve">RESCORE PROCESSING FEE                                      </t>
  </si>
  <si>
    <t xml:space="preserve">COPIED FILE FEE - THE MONEY HOUSE MP111                     </t>
  </si>
  <si>
    <t xml:space="preserve">COPIED FILE FEE - RESIDENTIAL MTG NETWORK YS101             </t>
  </si>
  <si>
    <t xml:space="preserve">MERGED REPORT FEE - MHC MORTGAGE LLC 71187                  </t>
  </si>
  <si>
    <t xml:space="preserve">Liens and Judgments/B4P0                                    </t>
  </si>
  <si>
    <t xml:space="preserve">FLOOD-HMDA-RUSH                                             </t>
  </si>
  <si>
    <t xml:space="preserve">VERIFICATION OF MORTGAGE                                    </t>
  </si>
  <si>
    <t xml:space="preserve">LP AUS REISSUE                                              </t>
  </si>
  <si>
    <t xml:space="preserve">WAYFINDER-B                                                 </t>
  </si>
  <si>
    <t xml:space="preserve">RESCORE FEE                                                 </t>
  </si>
  <si>
    <t xml:space="preserve">FAMM-C                                                      </t>
  </si>
  <si>
    <t xml:space="preserve">EXP/EQF                                                     </t>
  </si>
  <si>
    <t xml:space="preserve">BEANSTALK-ORDER                                             </t>
  </si>
  <si>
    <t xml:space="preserve">ADV120                                                      </t>
  </si>
  <si>
    <t xml:space="preserve">INTEGRA DESTINY-RETRIEVE                                    </t>
  </si>
  <si>
    <t xml:space="preserve">TAX RETURN VERIFICATION                                     </t>
  </si>
  <si>
    <t xml:space="preserve">UDN-TUC                                                     </t>
  </si>
  <si>
    <t xml:space="preserve">EQF/JNT-SOFT                                                </t>
  </si>
  <si>
    <t xml:space="preserve">UPDATED PUBLIC RECORDS (2)                                  </t>
  </si>
  <si>
    <t xml:space="preserve">MERGED REPORT FEE - RMC HOME MORTGAGE 71169                 </t>
  </si>
  <si>
    <t xml:space="preserve">Tax Transcript ORDER (1Y)                                   </t>
  </si>
  <si>
    <t xml:space="preserve">EXP/EQF/JNT-SOFT                                            </t>
  </si>
  <si>
    <t xml:space="preserve">MERGED REPORT FEE - 71166 JET HOMELOANS LLC ONLY            </t>
  </si>
  <si>
    <t xml:space="preserve">MERGED REPORT FEE - FA114 ALTITUDE FINANCIAL CORP           </t>
  </si>
  <si>
    <t xml:space="preserve">COPIED FILE FEE - HOMEOWNERS MORTGAGE 71180                 </t>
  </si>
  <si>
    <t xml:space="preserve">COPIED FILE FEE - PARK SQUARE HOME MTG 71137                </t>
  </si>
  <si>
    <t xml:space="preserve">MERGED REPORT FEE - 71180 HOMEOWNERS MTG ONLY               </t>
  </si>
  <si>
    <t xml:space="preserve">LEVELONE                                                    </t>
  </si>
  <si>
    <t xml:space="preserve">ADD3BI                                                      </t>
  </si>
  <si>
    <t xml:space="preserve">MORTGAGEDIRECTOR-RETRIEVE                                   </t>
  </si>
  <si>
    <t xml:space="preserve">REFRESH/JNT                                                 </t>
  </si>
  <si>
    <t xml:space="preserve">EPASS-RETRIEVE                                              </t>
  </si>
  <si>
    <t xml:space="preserve">TOTALCOST                                                   </t>
  </si>
  <si>
    <t xml:space="preserve">MERGED REPORT                                               </t>
  </si>
  <si>
    <t xml:space="preserve">EQF/TUC/JNT                                                 </t>
  </si>
  <si>
    <t xml:space="preserve">INTERFACE-ORDER                                             </t>
  </si>
  <si>
    <t xml:space="preserve">EXP/EQF/JNT                                                 </t>
  </si>
  <si>
    <t xml:space="preserve">TRADE UPDATE (2)                                            </t>
  </si>
  <si>
    <t xml:space="preserve">POSTBACK:PERSON-PROPERTY-F145D                              </t>
  </si>
  <si>
    <t xml:space="preserve">TRADE UPDATE (3)                                            </t>
  </si>
  <si>
    <t xml:space="preserve">POSTBACK:PARTICIPANT RPT-F114D                              </t>
  </si>
  <si>
    <t xml:space="preserve">CREDIT MONITORING                                           </t>
  </si>
  <si>
    <t xml:space="preserve">COPIED FILE FEE - 71166 JET HOMELOANS LLC ONLY              </t>
  </si>
  <si>
    <t xml:space="preserve">COPIED FILE FEE - COASTAL LOANS LLC 71174                   </t>
  </si>
  <si>
    <t xml:space="preserve">COPIED FILE FEE - RMC HOME MORTGAGE 71169                   </t>
  </si>
  <si>
    <t xml:space="preserve">COPIED FILE FEE - 71137 PARK SQUARE HOME MTG ONLY           </t>
  </si>
  <si>
    <t xml:space="preserve">SITEXPRO - PROPERTY DETAILS                                 </t>
  </si>
  <si>
    <t xml:space="preserve">iSCREEN ORDER                                               </t>
  </si>
  <si>
    <t xml:space="preserve">MERGED REPORT FEE - MORTGAGE LENDERS INVSTMT 71164          </t>
  </si>
  <si>
    <t xml:space="preserve">Express Alert Program                                       </t>
  </si>
  <si>
    <t xml:space="preserve">MERGED REPORT FEE - 71169 RMC HOME MORTGAGE ONLY            </t>
  </si>
  <si>
    <t xml:space="preserve">COPIED FILE FEE - HIGHLANDS RESIDENTIAL TX584               </t>
  </si>
  <si>
    <t xml:space="preserve">COPIED FILE FEE - CHOICE MORTGAGE 71184                     </t>
  </si>
  <si>
    <t xml:space="preserve">UDN-ADD2BJ                                                  </t>
  </si>
  <si>
    <t xml:space="preserve">UDN-ADD1BJ                                                  </t>
  </si>
  <si>
    <t xml:space="preserve">RAPID RESCORE - MIXED FILE                                  </t>
  </si>
  <si>
    <t xml:space="preserve">New VOE                                                     </t>
  </si>
  <si>
    <t xml:space="preserve">COPIED FILE FEE - OPTION FUNDING C22529 ONLY                </t>
  </si>
  <si>
    <t>Product Code</t>
  </si>
  <si>
    <t>VOE Product Codes</t>
  </si>
  <si>
    <t>EMPLOYHIST</t>
  </si>
  <si>
    <t>EXPVERIFYPREMIUM</t>
  </si>
  <si>
    <t>EXPVERIFYREVERIFYVOE</t>
  </si>
  <si>
    <t>EXPVERIFYREVERIFYVOIE</t>
  </si>
  <si>
    <t>INCOMEHIST</t>
  </si>
  <si>
    <t>MANUALVOE</t>
  </si>
  <si>
    <t>MANUALVOI</t>
  </si>
  <si>
    <t>REVERIFY</t>
  </si>
  <si>
    <t>THIRD PARTY AUTOMATED VOE FEE</t>
  </si>
  <si>
    <t>FINALVOE</t>
  </si>
  <si>
    <t>MISC</t>
  </si>
  <si>
    <t>Description</t>
  </si>
  <si>
    <t>Manual work and charge from Customer Service.  Primarily VOE-Related, but can be custom Verification work.</t>
  </si>
  <si>
    <t>X</t>
  </si>
  <si>
    <t>Fannie Mae VOE Re-Issue Fee</t>
  </si>
  <si>
    <t>SURCHARGE - COLORADO SURCHARGE</t>
  </si>
  <si>
    <t>STATE SPECIFIC CHARGE FOR ACCESSING CREDIT ON A RESIDENT OF THEIR STATE</t>
  </si>
  <si>
    <t>SURCHARGE - COMPLIANCE FEE</t>
  </si>
  <si>
    <t>COMPLIANCE FEE - INDIVIDUAL FILE</t>
  </si>
  <si>
    <t>SURCHARGE - COMPLIANCE FEE - PC</t>
  </si>
  <si>
    <t>COMPLIANCE FEE - PRIMARY CONSUMER ON JOINT FILE</t>
  </si>
  <si>
    <t>SURCHARGE - COMPLIANCE FEE - SC</t>
  </si>
  <si>
    <t>COMPLIANCE FEE - SECONDARY CONSUMER ON JOINT FILE</t>
  </si>
  <si>
    <t>SURCHARGE - FACTact Surcharge</t>
  </si>
  <si>
    <t>BUREAU IMPOSED SURCHARGE FOR FACTAct COMPLIANCE</t>
  </si>
  <si>
    <t>SURCHARGE - ILLINOIS SURCHARGE</t>
  </si>
  <si>
    <t>SURCHARGE - KENTUCKY SURCHARGE</t>
  </si>
  <si>
    <t>SSA-89 ORDER FEE FOR ORDER DONE THROUGH PITCHPOINT DIRECTLY (POINTSERVICES)</t>
  </si>
  <si>
    <t>SSA89</t>
  </si>
  <si>
    <t>SSA-89 ORDER FEE</t>
  </si>
  <si>
    <t>FAMM-B</t>
  </si>
  <si>
    <t>CONSUMER DISCLOSURE MAIL FEE - INDIVIDUAL FILE</t>
  </si>
  <si>
    <t>FAMM-J</t>
  </si>
  <si>
    <t>CONSUMER DISCLOSURE MAIL FEE - JOINT FILE</t>
  </si>
  <si>
    <t>IDV</t>
  </si>
  <si>
    <t>ID VERIFICATION REQUEST</t>
  </si>
  <si>
    <t>FLOOD-LIFE</t>
  </si>
  <si>
    <t>FLOOD WITH LIFE OF LOAN</t>
  </si>
  <si>
    <t>3BUR</t>
  </si>
  <si>
    <t>3 BUREAU INDIV CREDIT</t>
  </si>
  <si>
    <t>3BURJ</t>
  </si>
  <si>
    <t>3 BUREAU JOINT CREDIT</t>
  </si>
  <si>
    <t>3BUR-R</t>
  </si>
  <si>
    <t>3 BUREAU INDIV REFRESH CREDIT</t>
  </si>
  <si>
    <t>3BURJ-R</t>
  </si>
  <si>
    <t>3 BUREAU JOINT REFRESH CREDIT</t>
  </si>
  <si>
    <t>3P REISSUE</t>
  </si>
  <si>
    <t>FEE FOR 3RD PARTY TO REISSUE/ACCESS FILE</t>
  </si>
  <si>
    <t>Categorized</t>
  </si>
  <si>
    <t>PitchPoint Custom Fraud Product (ID Investigation)</t>
  </si>
  <si>
    <t>PitchPoint Custom Fraud Product (ID Investigation, Mortgage Participant)</t>
  </si>
  <si>
    <r>
      <t xml:space="preserve">Credit Card Payment.  </t>
    </r>
    <r>
      <rPr>
        <i/>
        <sz val="11"/>
        <color rgb="FFFF0000"/>
        <rFont val="Calibri"/>
        <family val="2"/>
        <scheme val="minor"/>
      </rPr>
      <t>Must be Excluded.</t>
    </r>
  </si>
  <si>
    <t>Equifax Fraud Product.  Required for SSN Search.</t>
  </si>
  <si>
    <t>CoreLogic AVM Product</t>
  </si>
  <si>
    <t>Depricated Secondary Use Fee</t>
  </si>
  <si>
    <r>
      <t xml:space="preserve">Instant Bank Verification </t>
    </r>
    <r>
      <rPr>
        <sz val="11"/>
        <color rgb="FFFF0000"/>
        <rFont val="Calibri"/>
        <family val="2"/>
        <scheme val="minor"/>
      </rPr>
      <t>(Depricated)</t>
    </r>
  </si>
  <si>
    <t>CoreLogic HVE AVM</t>
  </si>
  <si>
    <t>Lexis Nexis</t>
  </si>
  <si>
    <t>Last Used Date</t>
  </si>
  <si>
    <t>Notes</t>
  </si>
  <si>
    <t>1 in 2021, 1 in 2020, 1 in 2018, Active in 2017</t>
  </si>
  <si>
    <t>1 in 2021, 1 in 2020, Active in 2018</t>
  </si>
  <si>
    <t>1 Total Report</t>
  </si>
  <si>
    <t>Credit Adjustments to Billing (Shows up under Credit Reporting)</t>
  </si>
  <si>
    <r>
      <t xml:space="preserve">Credit Adjustments to Billing </t>
    </r>
    <r>
      <rPr>
        <sz val="11"/>
        <color rgb="FFFF0000"/>
        <rFont val="Calibri"/>
        <family val="2"/>
        <scheme val="minor"/>
      </rPr>
      <t>(Positive Value in Credit Column)</t>
    </r>
  </si>
  <si>
    <t>Positive Value in Credit Column</t>
  </si>
  <si>
    <t>ClientNumber</t>
  </si>
  <si>
    <t>ClientCompany</t>
  </si>
  <si>
    <t>GroupCode</t>
  </si>
  <si>
    <t xml:space="preserve">AMI FINANCIAL SERVICES, INC                                 </t>
  </si>
  <si>
    <t xml:space="preserve">KNOCK LENDING LLC                                           </t>
  </si>
  <si>
    <t xml:space="preserve">KNKL           </t>
  </si>
  <si>
    <t xml:space="preserve">HOME CONNECT LLC                                            </t>
  </si>
  <si>
    <t xml:space="preserve">HMCT           </t>
  </si>
  <si>
    <t xml:space="preserve">CALIFORNIA HOME LOANS GROUP, INC.                           </t>
  </si>
  <si>
    <t xml:space="preserve">FIRST VALLEY MORTGAGE                                       </t>
  </si>
  <si>
    <t xml:space="preserve">RECA GROUP INC.                                             </t>
  </si>
  <si>
    <t xml:space="preserve">NEW HORIZONS LENDING LLC                                    </t>
  </si>
  <si>
    <t xml:space="preserve">NHL            </t>
  </si>
  <si>
    <t xml:space="preserve">HIGH COUNTRY MORTGAGE SERVICES                              </t>
  </si>
  <si>
    <t xml:space="preserve">DC FINANCIAL, LLC                                           </t>
  </si>
  <si>
    <t xml:space="preserve">COHEN MORTGAGE, LLC                                         </t>
  </si>
  <si>
    <t xml:space="preserve">CHMN           </t>
  </si>
  <si>
    <t xml:space="preserve">SIMPLY FINANCIAL INC                                        </t>
  </si>
  <si>
    <t xml:space="preserve">SOUTHWEST HOME LOANS, INC                                   </t>
  </si>
  <si>
    <t xml:space="preserve">VISION CAPITAL, LLC                                         </t>
  </si>
  <si>
    <t xml:space="preserve">JDR MORTGAGE                                                </t>
  </si>
  <si>
    <t xml:space="preserve">US DIRECT LENDER                                            </t>
  </si>
  <si>
    <t xml:space="preserve">USDL           </t>
  </si>
  <si>
    <t xml:space="preserve">MVE CAPITAL FUNDING GROUP, INC.                             </t>
  </si>
  <si>
    <t xml:space="preserve">JUST JILL, INC                                              </t>
  </si>
  <si>
    <t xml:space="preserve">MARK 1 REAL ESTATE, INC.                                    </t>
  </si>
  <si>
    <t xml:space="preserve">3202C               </t>
  </si>
  <si>
    <t xml:space="preserve">MARK 1 REAL ESTATE                                          </t>
  </si>
  <si>
    <t xml:space="preserve">M1RE           </t>
  </si>
  <si>
    <t xml:space="preserve">3922A               </t>
  </si>
  <si>
    <t xml:space="preserve">TITANIUM MORTGAGE                                           </t>
  </si>
  <si>
    <t xml:space="preserve">GRAYSTONE MORTGAGE, LLC                                     </t>
  </si>
  <si>
    <t xml:space="preserve">SANCO INVESTMENTS INC                                       </t>
  </si>
  <si>
    <t xml:space="preserve">FINANCE WEST LENDING INC                                    </t>
  </si>
  <si>
    <t xml:space="preserve">FWL            </t>
  </si>
  <si>
    <t xml:space="preserve">PLATINUM HOME MORTGAGE CORPORATION                          </t>
  </si>
  <si>
    <t xml:space="preserve">PHMC           </t>
  </si>
  <si>
    <t xml:space="preserve">HOMETOWN LENDERS, INC                                       </t>
  </si>
  <si>
    <t xml:space="preserve">HTL            </t>
  </si>
  <si>
    <t xml:space="preserve">THE MORTGAGE FIRM, INC. - FL001 - CORPORATE - UW            </t>
  </si>
  <si>
    <t xml:space="preserve">TMF            </t>
  </si>
  <si>
    <t xml:space="preserve">71061A              </t>
  </si>
  <si>
    <t xml:space="preserve">THE MORTGAGE FIRM, INC. - FL003 - JUPITER FAMILY            </t>
  </si>
  <si>
    <t xml:space="preserve">71061J              </t>
  </si>
  <si>
    <t xml:space="preserve">THE MORTGAGE FIRM, INC. - FL030 - MELBOURNE                 </t>
  </si>
  <si>
    <t xml:space="preserve">71061P              </t>
  </si>
  <si>
    <t xml:space="preserve">THE MORTGAGE FIRM, INC. - FL010 - PORT ORANGE               </t>
  </si>
  <si>
    <t xml:space="preserve">71061Q              </t>
  </si>
  <si>
    <t xml:space="preserve">THE MORTGAGE FIRM, INC. - FL037 - KISSIMMEE/BUTLER          </t>
  </si>
  <si>
    <t xml:space="preserve">71061R              </t>
  </si>
  <si>
    <t xml:space="preserve">THE MORTGAGE FIRM, INC. - FL002 - ALTAMONTE RETAIL          </t>
  </si>
  <si>
    <t xml:space="preserve">71061S              </t>
  </si>
  <si>
    <t xml:space="preserve">THE MORTGAGE FIRM, INC. - FL005 - TAMPA-KIDDER              </t>
  </si>
  <si>
    <t xml:space="preserve">CAPITAL BANK CORPORATION                                    </t>
  </si>
  <si>
    <t xml:space="preserve">CONTEMPORARY MORTGAGE SRVCS, INC ALTAMONTE SPRINGS          </t>
  </si>
  <si>
    <t xml:space="preserve">CTMP           </t>
  </si>
  <si>
    <t xml:space="preserve">71088Y              </t>
  </si>
  <si>
    <t xml:space="preserve">HOMETOWN LENDERS, INC - THE LOZADA BRANCH                   </t>
  </si>
  <si>
    <t xml:space="preserve">71099H              </t>
  </si>
  <si>
    <t xml:space="preserve">THE MORTGAGE FIRM, INC. - FL047 - OVIEDO                    </t>
  </si>
  <si>
    <t xml:space="preserve">71099I              </t>
  </si>
  <si>
    <t xml:space="preserve">THE MORTGAGE FIRM, INC. - FL048 - TAMPA - STORCH            </t>
  </si>
  <si>
    <t xml:space="preserve">71099K              </t>
  </si>
  <si>
    <t xml:space="preserve">THE MORTGAGE FIRM, INC. - FL051 - TRINITY                   </t>
  </si>
  <si>
    <t xml:space="preserve">71099L              </t>
  </si>
  <si>
    <t xml:space="preserve">THE MORTGAGE FIRM, INC. - FL050 - NORTH MELBOURNE           </t>
  </si>
  <si>
    <t xml:space="preserve">71099M              </t>
  </si>
  <si>
    <t xml:space="preserve">THE MORTGAGE FIRM, INC. - FL042 - VENICE                    </t>
  </si>
  <si>
    <t xml:space="preserve">71099Q              </t>
  </si>
  <si>
    <t xml:space="preserve">THE MORTGAGE FIRM, INC. - FL008 - MOUNT DORA                </t>
  </si>
  <si>
    <t xml:space="preserve">71099U              </t>
  </si>
  <si>
    <t xml:space="preserve">THE MORTGAGE FIRM, INC. - FL057 - POMPANO BEACH             </t>
  </si>
  <si>
    <t xml:space="preserve">71099Y              </t>
  </si>
  <si>
    <t xml:space="preserve">THE MORTGAGE FIRM, INC. - FL058 - ALTAMONTE WILSON          </t>
  </si>
  <si>
    <t xml:space="preserve">COLLINS HOME MORTGAGE, LLC                                  </t>
  </si>
  <si>
    <t xml:space="preserve">CERTIFIED MORTGAGE PLANNERS                                 </t>
  </si>
  <si>
    <t xml:space="preserve">CMP            </t>
  </si>
  <si>
    <t xml:space="preserve">FLORIDA MORTGAGE PROFESSIONALS, LLC                         </t>
  </si>
  <si>
    <t xml:space="preserve">LOANWISE FINANCIAL LLC                                      </t>
  </si>
  <si>
    <t xml:space="preserve">RESMAC, INC.                                                </t>
  </si>
  <si>
    <t xml:space="preserve">71118B              </t>
  </si>
  <si>
    <t xml:space="preserve">RESMAC, INC.-FORT LAUDERDALE                                </t>
  </si>
  <si>
    <t xml:space="preserve">71118C              </t>
  </si>
  <si>
    <t xml:space="preserve">RESMAC, INC.-W PALM BEACH                                   </t>
  </si>
  <si>
    <t xml:space="preserve">AMC DILIGENCE, LLC                                          </t>
  </si>
  <si>
    <t xml:space="preserve">AMC            </t>
  </si>
  <si>
    <t xml:space="preserve">BANK OF FRANKEWING                                          </t>
  </si>
  <si>
    <t xml:space="preserve">BKFRN          </t>
  </si>
  <si>
    <t xml:space="preserve">CHAMPIONS MORTGAGE, LLC                                     </t>
  </si>
  <si>
    <t xml:space="preserve">PARK SQUARE HOME MORTGAGE, LLC                              </t>
  </si>
  <si>
    <t xml:space="preserve">FBC            </t>
  </si>
  <si>
    <t xml:space="preserve">INTERCONNECT MORTGAGE, INC.                                 </t>
  </si>
  <si>
    <t xml:space="preserve">COGENT BANK                                                 </t>
  </si>
  <si>
    <t xml:space="preserve">CGNT           </t>
  </si>
  <si>
    <t xml:space="preserve">MORTGAGE EXPERT, INC.                                       </t>
  </si>
  <si>
    <t xml:space="preserve">PHOENIX STAR MORTGAGE                                       </t>
  </si>
  <si>
    <t xml:space="preserve">PHXS           </t>
  </si>
  <si>
    <t xml:space="preserve">71154M              </t>
  </si>
  <si>
    <t xml:space="preserve">THE MORTGAGE FIRM, INC. - LA002 - LAKE CHARLES              </t>
  </si>
  <si>
    <t xml:space="preserve">71154N              </t>
  </si>
  <si>
    <t xml:space="preserve">THE MORTGAGE FIRM, INC. - FL068 - ST CLOUD                  </t>
  </si>
  <si>
    <t xml:space="preserve">71154X              </t>
  </si>
  <si>
    <t xml:space="preserve">THE MORTGAGE FIRM, INC. - PQS                               </t>
  </si>
  <si>
    <t xml:space="preserve">HYPER MORTGAGE LLC                                          </t>
  </si>
  <si>
    <t xml:space="preserve">71164A              </t>
  </si>
  <si>
    <t xml:space="preserve">MORTGAGE LENDERS INVESTMENT TRADING CORP-MORTGAGE ADVISORS  </t>
  </si>
  <si>
    <t xml:space="preserve">MLIT           </t>
  </si>
  <si>
    <t xml:space="preserve">71164C              </t>
  </si>
  <si>
    <t xml:space="preserve">MORTGAGE LENDERS INVESTMENT TRADING CORP-PRIMERA HOME LOANS </t>
  </si>
  <si>
    <t xml:space="preserve">FLORIDA REAL ESTATE LOANS, INC                              </t>
  </si>
  <si>
    <t xml:space="preserve">JET HOMELOANS, LP                                           </t>
  </si>
  <si>
    <t xml:space="preserve">TRAILBLAZER MORTGAGE LLC                                    </t>
  </si>
  <si>
    <t xml:space="preserve">RMC HOME MORTGAGE, LLC                                      </t>
  </si>
  <si>
    <t xml:space="preserve">READY RATE, LLC                                             </t>
  </si>
  <si>
    <t xml:space="preserve">RDYR           </t>
  </si>
  <si>
    <t xml:space="preserve">COASTAL LOANS, LLC                                          </t>
  </si>
  <si>
    <t xml:space="preserve">71175D              </t>
  </si>
  <si>
    <t xml:space="preserve">THE MORTGAGE FIRM, INC. - LA004 - BATON ROUGE               </t>
  </si>
  <si>
    <t xml:space="preserve">71175E              </t>
  </si>
  <si>
    <t xml:space="preserve">THE MORTGAGE FIRM, INC. - FL071 - WELLINGTON                </t>
  </si>
  <si>
    <t xml:space="preserve">71175G              </t>
  </si>
  <si>
    <t xml:space="preserve">THE MORTGAGE FIRM, INC. - FL074 - ST PETE                   </t>
  </si>
  <si>
    <t xml:space="preserve">71175I              </t>
  </si>
  <si>
    <t xml:space="preserve">THE MORTGAGE FIRM, INC. - LA005 - NEW ORLEANS               </t>
  </si>
  <si>
    <t xml:space="preserve">71175N              </t>
  </si>
  <si>
    <t xml:space="preserve">THE MORTGAGE FIRM, INC. - FL077 - ROCKLEDGE                 </t>
  </si>
  <si>
    <t xml:space="preserve">71175Q              </t>
  </si>
  <si>
    <t xml:space="preserve">THE MORTGAGE FIRM, INC. - FL079 - WEST MELBOURNE            </t>
  </si>
  <si>
    <t xml:space="preserve">AMERICA'S MORTGAGE SOLUTIONS                                </t>
  </si>
  <si>
    <t xml:space="preserve">FLORIDA HOMES &amp; LOANS, INC.                                 </t>
  </si>
  <si>
    <t xml:space="preserve">MORTGAGE STUDIO, INC.                                       </t>
  </si>
  <si>
    <t xml:space="preserve">HOMEOWNERS MORTGAGE, LLC                                    </t>
  </si>
  <si>
    <t xml:space="preserve">CHOICE MORTGAGE GROUP                                       </t>
  </si>
  <si>
    <t xml:space="preserve">CMG            </t>
  </si>
  <si>
    <t xml:space="preserve">MHC MORTGAGE, LLC                                           </t>
  </si>
  <si>
    <t xml:space="preserve">CLIMATE FIRST BANK                                          </t>
  </si>
  <si>
    <t xml:space="preserve">JFK FINANCIAL, INC.                                         </t>
  </si>
  <si>
    <t xml:space="preserve">JFK            </t>
  </si>
  <si>
    <t xml:space="preserve">PRIME MORTGAGE, INC.                                        </t>
  </si>
  <si>
    <t xml:space="preserve">PRIM           </t>
  </si>
  <si>
    <t xml:space="preserve">LIBERTY HOME LOANS, LLC                                     </t>
  </si>
  <si>
    <t xml:space="preserve">DREAMVIEW MORTGAGE GROUP LLC                                </t>
  </si>
  <si>
    <t xml:space="preserve">PALM BEACH MORTGAGE GROUP                                   </t>
  </si>
  <si>
    <t xml:space="preserve">PBMG           </t>
  </si>
  <si>
    <t xml:space="preserve">7479A               </t>
  </si>
  <si>
    <t xml:space="preserve">FBC MORTGAGE, LLC                                           </t>
  </si>
  <si>
    <t xml:space="preserve">7941AH              </t>
  </si>
  <si>
    <t xml:space="preserve">FBC MORTGAGE, LLC-TX 1165                                   </t>
  </si>
  <si>
    <t xml:space="preserve">7941AL              </t>
  </si>
  <si>
    <t xml:space="preserve">FBC MORTGAGE, LLC-TX 1170                                   </t>
  </si>
  <si>
    <t xml:space="preserve">7941AO              </t>
  </si>
  <si>
    <t xml:space="preserve">FBC MORTGAGE, LLC-LAS VEGAS                                 </t>
  </si>
  <si>
    <t xml:space="preserve">7941AV              </t>
  </si>
  <si>
    <t xml:space="preserve">FBC MORTGAGE, LLC - PQS                                     </t>
  </si>
  <si>
    <t xml:space="preserve">7941E               </t>
  </si>
  <si>
    <t xml:space="preserve">FBC MORTGAGE - TB                                           </t>
  </si>
  <si>
    <t xml:space="preserve">7941I               </t>
  </si>
  <si>
    <t xml:space="preserve">FBC MORTGAGE - CC                                           </t>
  </si>
  <si>
    <t xml:space="preserve">7941O               </t>
  </si>
  <si>
    <t xml:space="preserve">FBC MORTGAGE - BLDR                                         </t>
  </si>
  <si>
    <t xml:space="preserve">7941P               </t>
  </si>
  <si>
    <t xml:space="preserve">FBC MORTGAGE - TPO                                          </t>
  </si>
  <si>
    <t xml:space="preserve">7941Q               </t>
  </si>
  <si>
    <t xml:space="preserve">FBC MORTGAGE-BIRMINGHAM                                     </t>
  </si>
  <si>
    <t xml:space="preserve">CAPE CORAL MORTGAGE                                         </t>
  </si>
  <si>
    <t xml:space="preserve">CARLYLE FINANCIAL INC.                                      </t>
  </si>
  <si>
    <t xml:space="preserve">CRLF           </t>
  </si>
  <si>
    <t xml:space="preserve">HOME LOANS USA                                              </t>
  </si>
  <si>
    <t xml:space="preserve">AM100               </t>
  </si>
  <si>
    <t xml:space="preserve">KEYSTONE BANK                                               </t>
  </si>
  <si>
    <t xml:space="preserve">AZ542               </t>
  </si>
  <si>
    <t xml:space="preserve">LUND MORTGAGE TEAM INC.                                     </t>
  </si>
  <si>
    <t xml:space="preserve">AZ571               </t>
  </si>
  <si>
    <t xml:space="preserve">ON Q FINANCIAL, LLC                                         </t>
  </si>
  <si>
    <t xml:space="preserve">ONQV           </t>
  </si>
  <si>
    <t xml:space="preserve">C00545              </t>
  </si>
  <si>
    <t xml:space="preserve">CALIFORNIA HOME SOLUTION                                    </t>
  </si>
  <si>
    <t xml:space="preserve">C21802              </t>
  </si>
  <si>
    <t xml:space="preserve">ELITE REALTY                                                </t>
  </si>
  <si>
    <t xml:space="preserve">C21912              </t>
  </si>
  <si>
    <t xml:space="preserve">AMERICAN ADVANTAGE FINANCIAL                                </t>
  </si>
  <si>
    <t xml:space="preserve">C22165              </t>
  </si>
  <si>
    <t xml:space="preserve">GOLDEN WEST ALLIANCE INC                                    </t>
  </si>
  <si>
    <t xml:space="preserve">GWA            </t>
  </si>
  <si>
    <t xml:space="preserve">C22371              </t>
  </si>
  <si>
    <t xml:space="preserve">BWA MORTGAGE                                                </t>
  </si>
  <si>
    <t xml:space="preserve">C22462              </t>
  </si>
  <si>
    <t xml:space="preserve">GOLDEN COAST FINANCE, INC                                   </t>
  </si>
  <si>
    <t xml:space="preserve">GCF            </t>
  </si>
  <si>
    <t xml:space="preserve">C22504              </t>
  </si>
  <si>
    <t xml:space="preserve">TITAN MORTGAGE                                              </t>
  </si>
  <si>
    <t xml:space="preserve">C22524              </t>
  </si>
  <si>
    <t xml:space="preserve">ELS HOME LENDING                                            </t>
  </si>
  <si>
    <t xml:space="preserve">ESHL           </t>
  </si>
  <si>
    <t xml:space="preserve">C22529              </t>
  </si>
  <si>
    <t xml:space="preserve">OPTION FUNDING, INC.                                        </t>
  </si>
  <si>
    <t xml:space="preserve">OPTF           </t>
  </si>
  <si>
    <t xml:space="preserve">C22594              </t>
  </si>
  <si>
    <t xml:space="preserve">DONALD U PAULINO                                            </t>
  </si>
  <si>
    <t xml:space="preserve">C22657              </t>
  </si>
  <si>
    <t xml:space="preserve">OUTSMART HOLDINGS LLC                                       </t>
  </si>
  <si>
    <t xml:space="preserve">C23467              </t>
  </si>
  <si>
    <t xml:space="preserve">APEX FINANCIAL GROUP                                        </t>
  </si>
  <si>
    <t xml:space="preserve">C27794              </t>
  </si>
  <si>
    <t xml:space="preserve">PRIORITY FINANCIAL NETWORK                                  </t>
  </si>
  <si>
    <t xml:space="preserve">C2779B              </t>
  </si>
  <si>
    <t xml:space="preserve">PRIORITY FINANCIAL NETWORK-TEMPE ARIZONA                    </t>
  </si>
  <si>
    <t xml:space="preserve">C2779D              </t>
  </si>
  <si>
    <t xml:space="preserve">PRIORITY FINANCIAL NETWORK-MARYLAND                         </t>
  </si>
  <si>
    <t xml:space="preserve">C2779E              </t>
  </si>
  <si>
    <t xml:space="preserve">PRIORITY FINANCIAL NETWORK-BRAVO MORTGAGE                   </t>
  </si>
  <si>
    <t xml:space="preserve">C2779F              </t>
  </si>
  <si>
    <t xml:space="preserve">PRIORITY FINANCIAL NETWORK-INDIANAPOLIS                     </t>
  </si>
  <si>
    <t xml:space="preserve">C52383              </t>
  </si>
  <si>
    <t xml:space="preserve">BEST CAPITAL FUNDING                                        </t>
  </si>
  <si>
    <t xml:space="preserve">BCF            </t>
  </si>
  <si>
    <t xml:space="preserve">C52431              </t>
  </si>
  <si>
    <t xml:space="preserve">NORTEX MORTGAGE                                             </t>
  </si>
  <si>
    <t xml:space="preserve">NRTX           </t>
  </si>
  <si>
    <t xml:space="preserve">C62529              </t>
  </si>
  <si>
    <t xml:space="preserve">C62532              </t>
  </si>
  <si>
    <t xml:space="preserve">THE SHINTANI GROUP, INC                                     </t>
  </si>
  <si>
    <t xml:space="preserve">C72132              </t>
  </si>
  <si>
    <t xml:space="preserve">PERFORMANCE ELITE LENDING                                   </t>
  </si>
  <si>
    <t xml:space="preserve">C72529              </t>
  </si>
  <si>
    <t xml:space="preserve">I101                </t>
  </si>
  <si>
    <t xml:space="preserve">DEMO                                                        </t>
  </si>
  <si>
    <t xml:space="preserve">DEMO           </t>
  </si>
  <si>
    <t xml:space="preserve">I101C               </t>
  </si>
  <si>
    <t xml:space="preserve">DEMO-ANNE DEMO ACCT                                         </t>
  </si>
  <si>
    <t xml:space="preserve">I101V               </t>
  </si>
  <si>
    <t xml:space="preserve">DEMO,RON C DEMO ACCT                                        </t>
  </si>
  <si>
    <t xml:space="preserve">TSTVE          </t>
  </si>
  <si>
    <t xml:space="preserve">I1100               </t>
  </si>
  <si>
    <t xml:space="preserve">OAK BANK                                                    </t>
  </si>
  <si>
    <t xml:space="preserve">JS102               </t>
  </si>
  <si>
    <t xml:space="preserve">BLACKWELL MORTGAGE OF NC, LLC                               </t>
  </si>
  <si>
    <t xml:space="preserve">JS107               </t>
  </si>
  <si>
    <t xml:space="preserve">CASTLE PARK LENDING, LLC                                    </t>
  </si>
  <si>
    <t xml:space="preserve">JS109               </t>
  </si>
  <si>
    <t xml:space="preserve">ASCEND MORTGAGE LLC                                         </t>
  </si>
  <si>
    <t xml:space="preserve">JW101               </t>
  </si>
  <si>
    <t xml:space="preserve">SIGNATURE MORTGAGE CORPORATION                              </t>
  </si>
  <si>
    <t xml:space="preserve">JW102               </t>
  </si>
  <si>
    <t xml:space="preserve">HANCOCK MORTGAGE PARTNERS LLC                               </t>
  </si>
  <si>
    <t xml:space="preserve">HANC           </t>
  </si>
  <si>
    <t xml:space="preserve">JW102A              </t>
  </si>
  <si>
    <t xml:space="preserve">HANCOCK MORTGAGE PARTNERS LLC - 421                         </t>
  </si>
  <si>
    <t xml:space="preserve">JW103               </t>
  </si>
  <si>
    <t xml:space="preserve">PRO LOAN TEAM                                               </t>
  </si>
  <si>
    <t xml:space="preserve">JW104               </t>
  </si>
  <si>
    <t xml:space="preserve">CENTENNIAL BANK                                             </t>
  </si>
  <si>
    <t xml:space="preserve">CENT           </t>
  </si>
  <si>
    <t xml:space="preserve">JW113               </t>
  </si>
  <si>
    <t xml:space="preserve">STOCKTON MORTGAGE                                           </t>
  </si>
  <si>
    <t xml:space="preserve">STCK           </t>
  </si>
  <si>
    <t xml:space="preserve">JW116               </t>
  </si>
  <si>
    <t xml:space="preserve">HOOKS ENTERPRISE FIRM                                       </t>
  </si>
  <si>
    <t xml:space="preserve">JWPR115             </t>
  </si>
  <si>
    <t xml:space="preserve">PEOPLES MORTGAGE                                            </t>
  </si>
  <si>
    <t xml:space="preserve">PPLS           </t>
  </si>
  <si>
    <t xml:space="preserve">M104                </t>
  </si>
  <si>
    <t xml:space="preserve">LEADERONE FINANCIAL CORPORATION                             </t>
  </si>
  <si>
    <t xml:space="preserve">L1             </t>
  </si>
  <si>
    <t xml:space="preserve">M104F               </t>
  </si>
  <si>
    <t xml:space="preserve">LEADERONE FINANCIAL CORPORATION WA AZ3                      </t>
  </si>
  <si>
    <t xml:space="preserve">M104I               </t>
  </si>
  <si>
    <t xml:space="preserve">ONTO MORTGAGE                                               </t>
  </si>
  <si>
    <t xml:space="preserve">M104J               </t>
  </si>
  <si>
    <t xml:space="preserve">LEADERONE FINANCIAL CORPORATION-TX ROC                      </t>
  </si>
  <si>
    <t xml:space="preserve">M104K               </t>
  </si>
  <si>
    <t xml:space="preserve">LEADERONE FINANCIAL - GABRIONE ROC                          </t>
  </si>
  <si>
    <t xml:space="preserve">M145                </t>
  </si>
  <si>
    <t xml:space="preserve">AMERICAN MORTGAGE BANK                                      </t>
  </si>
  <si>
    <t xml:space="preserve">AMB            </t>
  </si>
  <si>
    <t xml:space="preserve">M168                </t>
  </si>
  <si>
    <t xml:space="preserve">COUNTRYFIRST MORTGAGE                                       </t>
  </si>
  <si>
    <t xml:space="preserve">MA190               </t>
  </si>
  <si>
    <t xml:space="preserve">DESTINY MORTGAGE GROUP INC.                                 </t>
  </si>
  <si>
    <t xml:space="preserve">DSMG           </t>
  </si>
  <si>
    <t xml:space="preserve">MA293               </t>
  </si>
  <si>
    <t xml:space="preserve">STONEBRIDGE FINANCIAL SERVICES INC.                         </t>
  </si>
  <si>
    <t xml:space="preserve">MP104               </t>
  </si>
  <si>
    <t xml:space="preserve">LATIN AMERICAN FINANCIAL CORP                               </t>
  </si>
  <si>
    <t xml:space="preserve">MP106               </t>
  </si>
  <si>
    <t xml:space="preserve">MULTIPLES MORTGAGE CORPORATION                              </t>
  </si>
  <si>
    <t xml:space="preserve">MP111               </t>
  </si>
  <si>
    <t xml:space="preserve">THE MONEY HOUSE, INC.                                       </t>
  </si>
  <si>
    <t xml:space="preserve">TMH            </t>
  </si>
  <si>
    <t xml:space="preserve">N04778              </t>
  </si>
  <si>
    <t xml:space="preserve">QUEST FINANCIAL-RESIDENTIAL                                 </t>
  </si>
  <si>
    <t xml:space="preserve">N27993              </t>
  </si>
  <si>
    <t xml:space="preserve">CHASE FINANCIAL CORP                                        </t>
  </si>
  <si>
    <t xml:space="preserve">NT100               </t>
  </si>
  <si>
    <t xml:space="preserve">FOXHILL MORTGAGE, INC.                                      </t>
  </si>
  <si>
    <t xml:space="preserve">PR105               </t>
  </si>
  <si>
    <t xml:space="preserve">LEGACY MORTGAGE, LLC                                        </t>
  </si>
  <si>
    <t xml:space="preserve">LGCY           </t>
  </si>
  <si>
    <t xml:space="preserve">PR114               </t>
  </si>
  <si>
    <t xml:space="preserve">ASSOCIATED MORTGAGE GROUP, INC                              </t>
  </si>
  <si>
    <t xml:space="preserve">PR115               </t>
  </si>
  <si>
    <t xml:space="preserve">VANTAGE MORTGAGE GROUP, INC                                 </t>
  </si>
  <si>
    <t xml:space="preserve">VMG            </t>
  </si>
  <si>
    <t xml:space="preserve">PR123A              </t>
  </si>
  <si>
    <t xml:space="preserve">SOUTHWEST FUNDING-1172-THE STATEWIDE GROUP                  </t>
  </si>
  <si>
    <t xml:space="preserve">SWF            </t>
  </si>
  <si>
    <t xml:space="preserve">PR123B              </t>
  </si>
  <si>
    <t xml:space="preserve">SOUTHWEST FUNDING LP-1047                                   </t>
  </si>
  <si>
    <t xml:space="preserve">PR123C              </t>
  </si>
  <si>
    <t xml:space="preserve">SOUTHWEST FUNDING LP-1050                                   </t>
  </si>
  <si>
    <t xml:space="preserve">PR123D              </t>
  </si>
  <si>
    <t xml:space="preserve">SOUTHWEST FUNDING LP-1074                                   </t>
  </si>
  <si>
    <t xml:space="preserve">PR123E              </t>
  </si>
  <si>
    <t xml:space="preserve">SOUTHWEST FUNDING LP - LAREDO BRANCH                        </t>
  </si>
  <si>
    <t xml:space="preserve">PR123F              </t>
  </si>
  <si>
    <t xml:space="preserve">SOUTHWEST FUNDING LP-1161                                   </t>
  </si>
  <si>
    <t xml:space="preserve">PR123G              </t>
  </si>
  <si>
    <t xml:space="preserve">SOUTHWEST FUNDING LP-1087                                   </t>
  </si>
  <si>
    <t xml:space="preserve">PR123H              </t>
  </si>
  <si>
    <t xml:space="preserve">SOUTHWEST FUNDING LP-1046                                   </t>
  </si>
  <si>
    <t xml:space="preserve">PR123I              </t>
  </si>
  <si>
    <t xml:space="preserve">SOUTHWEST FUNDING LP-1182                                   </t>
  </si>
  <si>
    <t xml:space="preserve">PR123J              </t>
  </si>
  <si>
    <t xml:space="preserve">SOUTHWEST FUNDING LP-1108                                   </t>
  </si>
  <si>
    <t xml:space="preserve">PR123L              </t>
  </si>
  <si>
    <t xml:space="preserve">SOUTHWEST FUNDING LP-1177                                   </t>
  </si>
  <si>
    <t xml:space="preserve">PR123M              </t>
  </si>
  <si>
    <t xml:space="preserve">SOUTHWEST FUNDING LP-1135                                   </t>
  </si>
  <si>
    <t xml:space="preserve">PR123N              </t>
  </si>
  <si>
    <t xml:space="preserve">SOUTHWEST FUNDING LP-1156                                   </t>
  </si>
  <si>
    <t xml:space="preserve">PR123O              </t>
  </si>
  <si>
    <t xml:space="preserve">SOUTHWEST FUNDING LP-1159                                   </t>
  </si>
  <si>
    <t xml:space="preserve">PR123Q              </t>
  </si>
  <si>
    <t xml:space="preserve">SOUTHWEST FUNDING LP-841                                    </t>
  </si>
  <si>
    <t xml:space="preserve">PR123R              </t>
  </si>
  <si>
    <t xml:space="preserve">SOUTHWEST FUNDING LP-1018                                   </t>
  </si>
  <si>
    <t xml:space="preserve">PR123T              </t>
  </si>
  <si>
    <t xml:space="preserve">SOUTHWEST FUNDING, LP-1112                                  </t>
  </si>
  <si>
    <t xml:space="preserve">PR123U              </t>
  </si>
  <si>
    <t xml:space="preserve">SOUTHWEST FUNDING, LP-1060                                  </t>
  </si>
  <si>
    <t xml:space="preserve">PR123V              </t>
  </si>
  <si>
    <t xml:space="preserve">SOUTHWEST FUNDING LP 1210                                   </t>
  </si>
  <si>
    <t xml:space="preserve">PR123W              </t>
  </si>
  <si>
    <t xml:space="preserve">SOUTHWEST FUNDING LP - 1213                                 </t>
  </si>
  <si>
    <t xml:space="preserve">PR123X              </t>
  </si>
  <si>
    <t xml:space="preserve">SOUTHWEST FUNDING LP-1193                                   </t>
  </si>
  <si>
    <t xml:space="preserve">PR125               </t>
  </si>
  <si>
    <t xml:space="preserve">V.I.P. MORTGAGE, INC                                        </t>
  </si>
  <si>
    <t xml:space="preserve">VIP            </t>
  </si>
  <si>
    <t xml:space="preserve">PR127               </t>
  </si>
  <si>
    <t xml:space="preserve">DENVER LENDING                                              </t>
  </si>
  <si>
    <t xml:space="preserve">PR136               </t>
  </si>
  <si>
    <t xml:space="preserve">CR FUNDING, INC                                             </t>
  </si>
  <si>
    <t xml:space="preserve">CRF            </t>
  </si>
  <si>
    <t xml:space="preserve">PR139B              </t>
  </si>
  <si>
    <t xml:space="preserve">SOUTHWEST FUNDING LP - 1196                                 </t>
  </si>
  <si>
    <t xml:space="preserve">PR139D              </t>
  </si>
  <si>
    <t xml:space="preserve">SOUTHWEST FUNDING LP -1239                                  </t>
  </si>
  <si>
    <t xml:space="preserve">PR139E              </t>
  </si>
  <si>
    <t xml:space="preserve">SOUTHWEST FUNDING LP - 1228                                 </t>
  </si>
  <si>
    <t xml:space="preserve">PR139G              </t>
  </si>
  <si>
    <t xml:space="preserve">SOUTHWEST FUNDING LP-1244                                   </t>
  </si>
  <si>
    <t xml:space="preserve">PR139I              </t>
  </si>
  <si>
    <t xml:space="preserve">SOUTHWEST FUNDING LP - 1247                                 </t>
  </si>
  <si>
    <t xml:space="preserve">PR139J              </t>
  </si>
  <si>
    <t xml:space="preserve">SOUTHWEST FUNDING LP - 1254                                 </t>
  </si>
  <si>
    <t xml:space="preserve">PR139K              </t>
  </si>
  <si>
    <t xml:space="preserve">SOUTHWEST FUNDING LP - 1251                                 </t>
  </si>
  <si>
    <t xml:space="preserve">PR139L              </t>
  </si>
  <si>
    <t xml:space="preserve">SOUTHWEST FUNDING LP - 1255                                 </t>
  </si>
  <si>
    <t xml:space="preserve">PR139M              </t>
  </si>
  <si>
    <t xml:space="preserve">SOUTHWEST FUNDING LP - 1252                                 </t>
  </si>
  <si>
    <t xml:space="preserve">PR139N              </t>
  </si>
  <si>
    <t xml:space="preserve">SOUTHWEST FUNDING, LP - 1237                                </t>
  </si>
  <si>
    <t xml:space="preserve">PR139O              </t>
  </si>
  <si>
    <t xml:space="preserve">SOUTHWEST FUNDING LP-1258                                   </t>
  </si>
  <si>
    <t xml:space="preserve">PR139Q              </t>
  </si>
  <si>
    <t xml:space="preserve">SOUTHWEST FUNDING LP - 1249                                 </t>
  </si>
  <si>
    <t xml:space="preserve">PR139R              </t>
  </si>
  <si>
    <t xml:space="preserve">SOUTHWEST FUNDING, LP - 1259                                </t>
  </si>
  <si>
    <t xml:space="preserve">PR139S              </t>
  </si>
  <si>
    <t xml:space="preserve">SOUTHWEST FUNDING LP-1260                                   </t>
  </si>
  <si>
    <t xml:space="preserve">PR139T              </t>
  </si>
  <si>
    <t xml:space="preserve">SOUTHWEST FUNDING LP - 1250                                 </t>
  </si>
  <si>
    <t xml:space="preserve">PR141               </t>
  </si>
  <si>
    <t xml:space="preserve">ELEV8 MORTGAGE LLC                                          </t>
  </si>
  <si>
    <t xml:space="preserve">PR142               </t>
  </si>
  <si>
    <t xml:space="preserve">BLACK DIAMOND MORTGAGE CORP                                 </t>
  </si>
  <si>
    <t xml:space="preserve">BDMC           </t>
  </si>
  <si>
    <t xml:space="preserve">PR145               </t>
  </si>
  <si>
    <t xml:space="preserve">TRIAD FINANCIAL SERVICES, INC.                              </t>
  </si>
  <si>
    <t xml:space="preserve">TFS            </t>
  </si>
  <si>
    <t xml:space="preserve">PR149               </t>
  </si>
  <si>
    <t xml:space="preserve">PROGRESSIVE FINANCIAL SERVICES CORP                         </t>
  </si>
  <si>
    <t xml:space="preserve">PR150               </t>
  </si>
  <si>
    <t xml:space="preserve">WELCOME HOME MORTGAGE LLC                                   </t>
  </si>
  <si>
    <t xml:space="preserve">PR155               </t>
  </si>
  <si>
    <t xml:space="preserve">ZENITH HOME LOANS, LLC                                      </t>
  </si>
  <si>
    <t xml:space="preserve">PR162               </t>
  </si>
  <si>
    <t xml:space="preserve">AZUZA, LLC                                                  </t>
  </si>
  <si>
    <t xml:space="preserve">PR166               </t>
  </si>
  <si>
    <t xml:space="preserve">ASPIRE HOME LOANS, LLC                                      </t>
  </si>
  <si>
    <t xml:space="preserve">ASP            </t>
  </si>
  <si>
    <t xml:space="preserve">PR167               </t>
  </si>
  <si>
    <t xml:space="preserve">MODERN HOME LENDING                                         </t>
  </si>
  <si>
    <t xml:space="preserve">MHL            </t>
  </si>
  <si>
    <t xml:space="preserve">PR168               </t>
  </si>
  <si>
    <t xml:space="preserve">MAIN STREET MORTGAGE, LLC                                   </t>
  </si>
  <si>
    <t xml:space="preserve">PR169               </t>
  </si>
  <si>
    <t xml:space="preserve">LATITUDE LENDING, LLC                                       </t>
  </si>
  <si>
    <t xml:space="preserve">PR171               </t>
  </si>
  <si>
    <t xml:space="preserve">CITIZENS BANK                                               </t>
  </si>
  <si>
    <t xml:space="preserve">CB             </t>
  </si>
  <si>
    <t xml:space="preserve">PR174               </t>
  </si>
  <si>
    <t xml:space="preserve">S3 HOME LOANS, LLC                                          </t>
  </si>
  <si>
    <t xml:space="preserve">SFMC           </t>
  </si>
  <si>
    <t xml:space="preserve">PR175               </t>
  </si>
  <si>
    <t xml:space="preserve">LEVEL UP MORTGAGE                                           </t>
  </si>
  <si>
    <t xml:space="preserve">LEVL           </t>
  </si>
  <si>
    <t xml:space="preserve">SE107               </t>
  </si>
  <si>
    <t xml:space="preserve">E MORTGAGE CORP                                             </t>
  </si>
  <si>
    <t xml:space="preserve">SE113               </t>
  </si>
  <si>
    <t xml:space="preserve">DUNWOODY MORTGAGE                                           </t>
  </si>
  <si>
    <t xml:space="preserve">TX502               </t>
  </si>
  <si>
    <t xml:space="preserve">SERVICE FIRST MORTGAGE COMPANY - HOME OFFICE                </t>
  </si>
  <si>
    <t xml:space="preserve">TX502A              </t>
  </si>
  <si>
    <t xml:space="preserve">SERVICE FIRST HOME LOANS - BRANCH 9002                      </t>
  </si>
  <si>
    <t xml:space="preserve">TX502B              </t>
  </si>
  <si>
    <t xml:space="preserve">SERVICE FIRST MORTGAGE COMPANY - BRANCH 8501                </t>
  </si>
  <si>
    <t xml:space="preserve">TX502C              </t>
  </si>
  <si>
    <t xml:space="preserve">SERVICE FIRST MORTGAGE COMPANY - BRANCH 6400                </t>
  </si>
  <si>
    <t xml:space="preserve">TX502E              </t>
  </si>
  <si>
    <t xml:space="preserve">SERVICE FIRST MORTGAGE COMPANY - BRANCH 7003                </t>
  </si>
  <si>
    <t xml:space="preserve">TX502G              </t>
  </si>
  <si>
    <t xml:space="preserve">SERVICE FIRST MORTGAGE COMPANY - BRANCH 8516                </t>
  </si>
  <si>
    <t xml:space="preserve">TX502H              </t>
  </si>
  <si>
    <t xml:space="preserve">SERVICE FIRST MORTGAGE COMPANY - BRANCH 3000                </t>
  </si>
  <si>
    <t xml:space="preserve">TX504               </t>
  </si>
  <si>
    <t xml:space="preserve">SERVICE FIRST MORTGAGE COMPANY - BRANCH 2100                </t>
  </si>
  <si>
    <t xml:space="preserve">TX580               </t>
  </si>
  <si>
    <t xml:space="preserve">SERVICE FIRST MORTGAGE COMPANY - BRANCH 6200                </t>
  </si>
  <si>
    <t xml:space="preserve">U125                </t>
  </si>
  <si>
    <t xml:space="preserve">RANLIFE INC.                                                </t>
  </si>
  <si>
    <t xml:space="preserve">RNLF           </t>
  </si>
  <si>
    <t xml:space="preserve">U218                </t>
  </si>
  <si>
    <t xml:space="preserve">SECURITY NATIONAL MORTGAGE - MIDVALE GROUP                  </t>
  </si>
  <si>
    <t xml:space="preserve">SNMC           </t>
  </si>
  <si>
    <t xml:space="preserve">U218B               </t>
  </si>
  <si>
    <t xml:space="preserve">SECURITY NATIONAL MORTGAGE - LAS VEGAS  GROUP               </t>
  </si>
  <si>
    <t xml:space="preserve">U218I               </t>
  </si>
  <si>
    <t xml:space="preserve">SECURITY NATIONAL MORTGAGE - EAST COAST REGION              </t>
  </si>
  <si>
    <t xml:space="preserve">U218J               </t>
  </si>
  <si>
    <t xml:space="preserve">SECURITY NATIONAL MORTGAGE-SALT LAKE                        </t>
  </si>
  <si>
    <t xml:space="preserve">U218K               </t>
  </si>
  <si>
    <t xml:space="preserve">SECURITY NATIONAL MORTGAGE - SUMMIT REGION                  </t>
  </si>
  <si>
    <t xml:space="preserve">U218L               </t>
  </si>
  <si>
    <t xml:space="preserve">SECURITY NATIONAL MORTGAGE - AUSTIN REGION                  </t>
  </si>
  <si>
    <t xml:space="preserve">U218M               </t>
  </si>
  <si>
    <t xml:space="preserve">SECURITY NATIONAL MORTGAGE - WISCONSIN                      </t>
  </si>
  <si>
    <t xml:space="preserve">U218N               </t>
  </si>
  <si>
    <t xml:space="preserve">SECURITY NATIONAL MORTGAGE - LOAN PEAK                      </t>
  </si>
  <si>
    <t xml:space="preserve">U218O               </t>
  </si>
  <si>
    <t xml:space="preserve">SN MORTGAGE COMPANY                                         </t>
  </si>
  <si>
    <t xml:space="preserve">U218Q               </t>
  </si>
  <si>
    <t xml:space="preserve">SECURITY NATIONAL MORTGAGE - MID-ATLANTIC REGION            </t>
  </si>
  <si>
    <t xml:space="preserve">U218R               </t>
  </si>
  <si>
    <t xml:space="preserve">SECURITY NATIONAL MORTGAGE - MIDWEST REGION                 </t>
  </si>
  <si>
    <t xml:space="preserve">U218U               </t>
  </si>
  <si>
    <t xml:space="preserve">SECURITY NATIONAL MORTGAGE-LEHI                             </t>
  </si>
  <si>
    <t xml:space="preserve">U218V               </t>
  </si>
  <si>
    <t xml:space="preserve">SECURITY NATIONAL MORTGAGE-PARLEYS WAY                      </t>
  </si>
  <si>
    <t xml:space="preserve">U225                </t>
  </si>
  <si>
    <t xml:space="preserve">ALLIED REALTY FINANCIAL                                     </t>
  </si>
  <si>
    <t xml:space="preserve">U232                </t>
  </si>
  <si>
    <t xml:space="preserve">A FRAME MORTGAGE, LLC                                       </t>
  </si>
  <si>
    <t xml:space="preserve">YS101               </t>
  </si>
  <si>
    <t xml:space="preserve">RESIDENTIAL MORTGAGE NETWORK, INC.                          </t>
  </si>
  <si>
    <t xml:space="preserve">RMN            </t>
  </si>
  <si>
    <t xml:space="preserve">YS102               </t>
  </si>
  <si>
    <t xml:space="preserve">COMMUNITY MORTGAGE, LLC                                     </t>
  </si>
  <si>
    <t xml:space="preserve">COMM           </t>
  </si>
  <si>
    <t xml:space="preserve">YS105               </t>
  </si>
  <si>
    <t xml:space="preserve">SOUTH WIND FINANCIAL, INC.                                  </t>
  </si>
  <si>
    <t xml:space="preserve">SWND           </t>
  </si>
  <si>
    <t xml:space="preserve">YS106               </t>
  </si>
  <si>
    <t xml:space="preserve">TOWN LAKE MORTGAGE, LLC                                     </t>
  </si>
  <si>
    <t xml:space="preserve">YS108               </t>
  </si>
  <si>
    <t xml:space="preserve">LOCAL MORTGAGE                                              </t>
  </si>
  <si>
    <t xml:space="preserve">LCLM           </t>
  </si>
  <si>
    <t xml:space="preserve">YS109               </t>
  </si>
  <si>
    <t xml:space="preserve">AMERICAN NATIONAL BANK &amp; TRUST                              </t>
  </si>
  <si>
    <t xml:space="preserve">ANBT           </t>
  </si>
  <si>
    <t xml:space="preserve">YS112               </t>
  </si>
  <si>
    <t xml:space="preserve">SUNRISE LENDING COMPANY, LLC                                </t>
  </si>
  <si>
    <t xml:space="preserve">YS115               </t>
  </si>
  <si>
    <t xml:space="preserve">DATCU                                                       </t>
  </si>
  <si>
    <t xml:space="preserve">DATCU          </t>
  </si>
  <si>
    <t>HCMS</t>
  </si>
  <si>
    <t>SMPF</t>
  </si>
  <si>
    <t>SWHL</t>
  </si>
  <si>
    <t>VCAP</t>
  </si>
  <si>
    <t>JDRM</t>
  </si>
  <si>
    <t>MVEC</t>
  </si>
  <si>
    <t>AMIF</t>
  </si>
  <si>
    <t>RECA</t>
  </si>
  <si>
    <t>JSTJ</t>
  </si>
  <si>
    <t>MRK1</t>
  </si>
  <si>
    <t>GRYM</t>
  </si>
  <si>
    <t>SNCO</t>
  </si>
  <si>
    <t>CPCM</t>
  </si>
  <si>
    <t>HLUSA</t>
  </si>
  <si>
    <t>CHLG</t>
  </si>
  <si>
    <t>1STV</t>
  </si>
  <si>
    <t>PFIN</t>
  </si>
  <si>
    <t>Mortgage Select All</t>
  </si>
  <si>
    <t>Fee Product Codes</t>
  </si>
  <si>
    <t>DCFIN</t>
  </si>
  <si>
    <t>CAPBC</t>
  </si>
  <si>
    <t>CLNS</t>
  </si>
  <si>
    <t>FMPL</t>
  </si>
  <si>
    <t>LWFL</t>
  </si>
  <si>
    <t>RSMC</t>
  </si>
  <si>
    <t>CHMP</t>
  </si>
  <si>
    <t>ICMT</t>
  </si>
  <si>
    <t>MTEX</t>
  </si>
  <si>
    <t>HYPM</t>
  </si>
  <si>
    <t>FREL</t>
  </si>
  <si>
    <t>AMTS</t>
  </si>
  <si>
    <t>FH&amp;L</t>
  </si>
  <si>
    <t>MTSI</t>
  </si>
  <si>
    <t>C1STB</t>
  </si>
  <si>
    <t>DVMG</t>
  </si>
  <si>
    <t>TITM</t>
  </si>
  <si>
    <t>KSBK</t>
  </si>
  <si>
    <t>LUND</t>
  </si>
  <si>
    <t>CAHS</t>
  </si>
  <si>
    <t>ELTRE</t>
  </si>
  <si>
    <t>AAFN</t>
  </si>
  <si>
    <t>BWAM</t>
  </si>
  <si>
    <t>TTNM</t>
  </si>
  <si>
    <t>DDUP</t>
  </si>
  <si>
    <t>OSHL</t>
  </si>
  <si>
    <t>AFG</t>
  </si>
  <si>
    <t>OPTF</t>
  </si>
  <si>
    <t>SHIN</t>
  </si>
  <si>
    <t>PREL</t>
  </si>
  <si>
    <t>OAKB</t>
  </si>
  <si>
    <t>BLKW</t>
  </si>
  <si>
    <t>CPLL</t>
  </si>
  <si>
    <t>ASMTG</t>
  </si>
  <si>
    <t>SIGM</t>
  </si>
  <si>
    <t>PROL</t>
  </si>
  <si>
    <t>HOOK</t>
  </si>
  <si>
    <t>CNFM</t>
  </si>
  <si>
    <t>STON</t>
  </si>
  <si>
    <t>LATN</t>
  </si>
  <si>
    <t>MLPS</t>
  </si>
  <si>
    <t>QUES</t>
  </si>
  <si>
    <t>CHFC</t>
  </si>
  <si>
    <t>FOXH</t>
  </si>
  <si>
    <t>AMGI</t>
  </si>
  <si>
    <t>DENL</t>
  </si>
  <si>
    <t>ELV8</t>
  </si>
  <si>
    <t>PFSC</t>
  </si>
  <si>
    <t>AZUZ</t>
  </si>
  <si>
    <t>MSML</t>
  </si>
  <si>
    <t>LATT</t>
  </si>
  <si>
    <t>EMTG</t>
  </si>
  <si>
    <t>DUNW</t>
  </si>
  <si>
    <t>ALLRF</t>
  </si>
  <si>
    <t>AFRAM</t>
  </si>
  <si>
    <t>TLMG</t>
  </si>
  <si>
    <t>SUNR</t>
  </si>
  <si>
    <t>WELM</t>
  </si>
  <si>
    <t>These chages can happen for both Hard/Soft.</t>
  </si>
  <si>
    <t>Need to make sure we are not counting these twice.</t>
  </si>
  <si>
    <t>CASCADE ALERTS - MORTGAGE INQUIRIES</t>
  </si>
  <si>
    <t xml:space="preserve">ENCOMPASS UDN FEE                                           </t>
  </si>
  <si>
    <t xml:space="preserve">EXPVERIFYCORE                                               </t>
  </si>
  <si>
    <t xml:space="preserve">REVERIFYEMP                                                 </t>
  </si>
  <si>
    <t xml:space="preserve">FICOSCOREMORTGAGESIMULATOR                                  </t>
  </si>
  <si>
    <t xml:space="preserve">SCORENAVMANUALSIMULATOR                                     </t>
  </si>
  <si>
    <t xml:space="preserve">SCORENAVMAP                                                 </t>
  </si>
  <si>
    <t xml:space="preserve">SCORENAVMONEYANDTARGETSIMULATOR                             </t>
  </si>
  <si>
    <t xml:space="preserve">MORTGAGEULTIMATE                                            </t>
  </si>
  <si>
    <t>Mortgage Ultimate</t>
  </si>
  <si>
    <t xml:space="preserve">POSTBACK:HALCYONICE                                         </t>
  </si>
  <si>
    <t xml:space="preserve">POSTBACK:HALCYONTRANSCRIPTS                                 </t>
  </si>
  <si>
    <t xml:space="preserve">POSTBACK:PREAUTHHALCYONICE                                  </t>
  </si>
  <si>
    <t xml:space="preserve">ARMCOACES-ORDER                                             </t>
  </si>
  <si>
    <t xml:space="preserve">ARMCOACES02Tax Transcript Interface Fee                     </t>
  </si>
  <si>
    <t>New</t>
  </si>
  <si>
    <t xml:space="preserve">1BUR REACCESS FEE                                           </t>
  </si>
  <si>
    <t xml:space="preserve">1BUR RESCORE REACCESS FEE                                   </t>
  </si>
  <si>
    <t xml:space="preserve">1BURJ REACCESS FEE                                          </t>
  </si>
  <si>
    <t xml:space="preserve">2BUR REACCESS FEE                                           </t>
  </si>
  <si>
    <t xml:space="preserve">2BUR RESCORE REACCESS FEE                                   </t>
  </si>
  <si>
    <t xml:space="preserve">2BURJ REACCESS FEE                                          </t>
  </si>
  <si>
    <t xml:space="preserve">ATTRIBUTES PORTFOLIO                                        </t>
  </si>
  <si>
    <t xml:space="preserve">AVISTASOLUTION-ORDER                                        </t>
  </si>
  <si>
    <t xml:space="preserve">AVISTASOLUTION-RETRIEVE                                     </t>
  </si>
  <si>
    <t xml:space="preserve">BLEND-ORDER                                                 </t>
  </si>
  <si>
    <t xml:space="preserve">BLEND-RETRIEVE                                              </t>
  </si>
  <si>
    <t xml:space="preserve">BUSINESS CREDIT WITH INTELLISCORE                           </t>
  </si>
  <si>
    <t xml:space="preserve">CALYXDIRECT-ORDER                                           </t>
  </si>
  <si>
    <t xml:space="preserve">CALYXDIRECT-RETRIEVE                                        </t>
  </si>
  <si>
    <t xml:space="preserve">CASCADE ALERTS - MORTGAGE INQUIRIES                         </t>
  </si>
  <si>
    <t xml:space="preserve">CL_GEOAVM                                                   </t>
  </si>
  <si>
    <t xml:space="preserve">COPIED FILE FEE - ACRISURE MORTGAGE, LLC                    </t>
  </si>
  <si>
    <t xml:space="preserve">COPIED FILE FEE - COASTAL LOANS, LLC                        </t>
  </si>
  <si>
    <t xml:space="preserve">COPIED FILE FEE - DELMAR MORTGAGE ONLY                      </t>
  </si>
  <si>
    <t xml:space="preserve">COPIED FILE FEE - FUSION HOME LOANS                         </t>
  </si>
  <si>
    <t xml:space="preserve">COPIED FILE FEE - HOMEOWNERS FINANCIAL GROUP                </t>
  </si>
  <si>
    <t xml:space="preserve">COPIED FILE FEE - HOMEOWNERS MORTGAGE, LLC                  </t>
  </si>
  <si>
    <t xml:space="preserve">COPIED FILE FEE - JET HOMELOANS, LP 71166                   </t>
  </si>
  <si>
    <t xml:space="preserve">COPIED FILE FEE - JET HOMELOANS, LP 71209                   </t>
  </si>
  <si>
    <t xml:space="preserve">COPIED FILE FEE - LIBERTY HOME LOANS, LLC 71200             </t>
  </si>
  <si>
    <t xml:space="preserve">COPIED FILE FEE - MHC MORTGAGE, LLC 71187                   </t>
  </si>
  <si>
    <t xml:space="preserve">COPIED FILE FEE - MY LOAN UNDERWRITERS C22404               </t>
  </si>
  <si>
    <t xml:space="preserve">COPIED FILE FEE - NOVA HOME LOANS                           </t>
  </si>
  <si>
    <t xml:space="preserve">COPIED FILE FEE - PARK SQUARE HOME MORTGAGE, LLC            </t>
  </si>
  <si>
    <t xml:space="preserve">COPIED FILE FEE - RMC HOME MORTGAGE, LLC                    </t>
  </si>
  <si>
    <t xml:space="preserve">COPIED FILE FEE - SECURITY NATIONAL                         </t>
  </si>
  <si>
    <t xml:space="preserve">COPIED FILE FEE - TRAILBLAZER MORTGAGE LLC                  </t>
  </si>
  <si>
    <t xml:space="preserve">COPIED FILE FEE-SERVICE FIRST MORTGAGE &amp; ALL SUBS           </t>
  </si>
  <si>
    <t xml:space="preserve">COPY FILE FEE - SECURITY NATIONAL                           </t>
  </si>
  <si>
    <t xml:space="preserve">Fee Adjustment                                              </t>
  </si>
  <si>
    <t xml:space="preserve">FMAC LP AUS REISSUE                                         </t>
  </si>
  <si>
    <t xml:space="preserve">FNMA AUS CREDIT REISSUE                                     </t>
  </si>
  <si>
    <t xml:space="preserve">FNMA AUS ORDER CREDIT                                       </t>
  </si>
  <si>
    <t xml:space="preserve">LENDINGPAD-ORDER                                            </t>
  </si>
  <si>
    <t xml:space="preserve">LENDINGPAD-RETRIEVE                                         </t>
  </si>
  <si>
    <t xml:space="preserve">MERGED FILE FEE - EVERGREEN HOME LOANS PR165                </t>
  </si>
  <si>
    <t xml:space="preserve">MERGED FILE FEE - SECURITY NATIONAL                         </t>
  </si>
  <si>
    <t xml:space="preserve">MERGED REPORT - CHOICE MORTGAGE 71184                       </t>
  </si>
  <si>
    <t xml:space="preserve">MERGED REPORT - MOR LENDING                                 </t>
  </si>
  <si>
    <t xml:space="preserve">MERGED REPORT - NOVA HOME LOANS                             </t>
  </si>
  <si>
    <t xml:space="preserve">MERGED REPORT FEE - ACRISURE MORTGAGE, LLC                  </t>
  </si>
  <si>
    <t xml:space="preserve">MERGED REPORT FEE - COASTAL LOANS, LLC                      </t>
  </si>
  <si>
    <t xml:space="preserve">MERGED REPORT FEE - FUSION HOME LOANS                       </t>
  </si>
  <si>
    <t xml:space="preserve">MERGED REPORT FEE - GL FINANCIAL SERVICES                   </t>
  </si>
  <si>
    <t xml:space="preserve">MERGED REPORT FEE - HOMEOWNERS FINANCIAL GROUP              </t>
  </si>
  <si>
    <t xml:space="preserve">MERGED REPORT FEE - HOMEOWNERS MORTGAGE 71180               </t>
  </si>
  <si>
    <t xml:space="preserve">MERGED REPORT FEE - HOMEOWNERS MORTGAGE, LLC                </t>
  </si>
  <si>
    <t xml:space="preserve">MERGED REPORT FEE - JET HOMELOANS, LP 71166                 </t>
  </si>
  <si>
    <t xml:space="preserve">MERGED REPORT FEE - JET HOMELOANS, LP 71209                 </t>
  </si>
  <si>
    <t xml:space="preserve">MERGED REPORT FEE - LIBERTY HOME LOANS, LLC 71200           </t>
  </si>
  <si>
    <t xml:space="preserve">MERGED REPORT FEE - NOVA HOME LOANS                         </t>
  </si>
  <si>
    <t xml:space="preserve">MERGED REPORT FEE - PARK SQUARE HOME MTG 71137              </t>
  </si>
  <si>
    <t xml:space="preserve">MERGED REPORT FEE - RESIDENTIAL MTG NETWORK YS101           </t>
  </si>
  <si>
    <t xml:space="preserve">MERGED REPORT FEE - RMC HOME MORTGAGE, LLC                  </t>
  </si>
  <si>
    <t xml:space="preserve">MERGED REPORT FEE - THE MORTGAGE FIRM ONLY                  </t>
  </si>
  <si>
    <t xml:space="preserve">MERGED REPORT FEE - TRAILBLAZER MORTGAGE 71168              </t>
  </si>
  <si>
    <t xml:space="preserve">MERGED REPORT FEE - TRAILBLAZER MORTGAGE LLC                </t>
  </si>
  <si>
    <t xml:space="preserve">MERGED REPORT FEE - TRAILBLAZER MTG 71168                   </t>
  </si>
  <si>
    <t xml:space="preserve">MORTGAGE CADENCE-RETRIEVE                                   </t>
  </si>
  <si>
    <t xml:space="preserve">MTG RATING                                                  </t>
  </si>
  <si>
    <t xml:space="preserve">OPENCLOSE-ORDER                                             </t>
  </si>
  <si>
    <t xml:space="preserve">OPENCLOSE-RETRIEVE                                          </t>
  </si>
  <si>
    <t xml:space="preserve">POINTWEBCONNECT-ORDER                                       </t>
  </si>
  <si>
    <t xml:space="preserve">POINTWEBCONNECT-RETRIEVE                                    </t>
  </si>
  <si>
    <t xml:space="preserve">POSTBACK:PREAUTH                                            </t>
  </si>
  <si>
    <t xml:space="preserve">REVERSEVISION-ORDER                                         </t>
  </si>
  <si>
    <t xml:space="preserve">THIRD PARTY VENDOR                                          </t>
  </si>
  <si>
    <t xml:space="preserve">UPDATED PUBLIC RECORDS                                      </t>
  </si>
  <si>
    <t xml:space="preserve">VERIFICATION OF RENT                                        </t>
  </si>
  <si>
    <t xml:space="preserve">LENDER''S OFFICE-ORDER                                       </t>
  </si>
  <si>
    <t xml:space="preserve">''--MISC--                                                   </t>
  </si>
  <si>
    <t xml:space="preserve">DELETE BORROWER                                            </t>
  </si>
  <si>
    <t xml:space="preserve">DELETE DUPLICATES                                          </t>
  </si>
  <si>
    <t>3P_REISSUE</t>
  </si>
  <si>
    <t>1BUR REACCESS FEE</t>
  </si>
  <si>
    <t>1BUR RESCORE REACCESS FEE</t>
  </si>
  <si>
    <t>1BURJ REACCESS FEE</t>
  </si>
  <si>
    <t>2BUR REACCESS FEE</t>
  </si>
  <si>
    <t>2BUR RESCORE REACCESS FEE</t>
  </si>
  <si>
    <t>2BURJ REACCESS FEE</t>
  </si>
  <si>
    <t>ATTRIBUTES PORTFOLIO</t>
  </si>
  <si>
    <t>EQF-SOFT</t>
  </si>
  <si>
    <t>EQF/JNT-SOFT</t>
  </si>
  <si>
    <t>EQF/TUC-SOFT</t>
  </si>
  <si>
    <t>EQF/TUC/JNT-SOFT</t>
  </si>
  <si>
    <t>EXP-SOFT</t>
  </si>
  <si>
    <t>EXP/EQF-SOFT</t>
  </si>
  <si>
    <t>EXP/EQF/JNT-SOFT</t>
  </si>
  <si>
    <t>EXP/EQF/TUC-SOFT</t>
  </si>
  <si>
    <t>EXP/EQF/TUC/JNT-SOFT</t>
  </si>
  <si>
    <t>EXP/JNT-SOFT</t>
  </si>
  <si>
    <t>EXP/TUC-SOFT</t>
  </si>
  <si>
    <t>EXP/TUC/JNT-SOFT</t>
  </si>
  <si>
    <t>COPIED FILE FEE - ACRISURE MORTGAGE, LLC</t>
  </si>
  <si>
    <t>COPIED FILE FEE - COASTAL LOANS, LLC</t>
  </si>
  <si>
    <t>COPIED FILE FEE - DELMAR MORTGAGE ONLY</t>
  </si>
  <si>
    <t>COPIED FILE FEE - FUSION HOME LOANS</t>
  </si>
  <si>
    <t>COPIED FILE FEE - HOMEOWNERS FINANCIAL GROUP</t>
  </si>
  <si>
    <t>COPIED FILE FEE - HOMEOWNERS MORTGAGE, LLC</t>
  </si>
  <si>
    <t>COPIED FILE FEE - JET HOMELOANS, LP 71166</t>
  </si>
  <si>
    <t>COPIED FILE FEE - JET HOMELOANS, LP 71209</t>
  </si>
  <si>
    <t>COPIED FILE FEE - LIBERTY HOME LOANS, LLC 71200</t>
  </si>
  <si>
    <t>COPIED FILE FEE - MHC MORTGAGE, LLC 71187</t>
  </si>
  <si>
    <t>COPIED FILE FEE - MY LOAN UNDERWRITERS C22404</t>
  </si>
  <si>
    <t>COPIED FILE FEE - NOVA HOME LOANS</t>
  </si>
  <si>
    <t>COPIED FILE FEE - PARK SQUARE HOME MORTGAGE, LLC</t>
  </si>
  <si>
    <t>COPIED FILE FEE - RMC HOME MORTGAGE, LLC</t>
  </si>
  <si>
    <t>COPIED FILE FEE - SECURITY NATIONAL</t>
  </si>
  <si>
    <t>COPIED FILE FEE - TRAILBLAZER MORTGAGE LLC</t>
  </si>
  <si>
    <t>COPIED FILE FEE-SERVICE FIRST MORTGAGE &amp; ALL SUBS</t>
  </si>
  <si>
    <t>COPY FILE FEE - SECURITY NATIONAL</t>
  </si>
  <si>
    <t>MERGED FILE FEE - EVERGREEN HOME LOANS PR165</t>
  </si>
  <si>
    <t>MERGED FILE FEE - SECURITY NATIONAL</t>
  </si>
  <si>
    <t>MERGED REPORT - CHOICE MORTGAGE 71184</t>
  </si>
  <si>
    <t>MERGED REPORT - MOR LENDING</t>
  </si>
  <si>
    <t>MERGED REPORT - NOVA HOME LOANS</t>
  </si>
  <si>
    <t>MERGED REPORT FEE - ACRISURE MORTGAGE, LLC</t>
  </si>
  <si>
    <t>MERGED REPORT FEE - COASTAL LOANS, LLC</t>
  </si>
  <si>
    <t>MERGED REPORT FEE - FUSION HOME LOANS</t>
  </si>
  <si>
    <t>MERGED REPORT FEE - GL FINANCIAL SERVICES</t>
  </si>
  <si>
    <t>MERGED REPORT FEE - HOMEOWNERS FINANCIAL GROUP</t>
  </si>
  <si>
    <t>MERGED REPORT FEE - HOMEOWNERS MORTGAGE 71180</t>
  </si>
  <si>
    <t>MERGED REPORT FEE - HOMEOWNERS MORTGAGE, LLC</t>
  </si>
  <si>
    <t>MERGED REPORT FEE - JET HOMELOANS, LP 71166</t>
  </si>
  <si>
    <t>MERGED REPORT FEE - JET HOMELOANS, LP 71209</t>
  </si>
  <si>
    <t>MERGED REPORT FEE - LIBERTY HOME LOANS, LLC 71200</t>
  </si>
  <si>
    <t>MERGED REPORT FEE - NOVA HOME LOANS</t>
  </si>
  <si>
    <t>MERGED REPORT FEE - PARK SQUARE HOME MTG 71137</t>
  </si>
  <si>
    <t>MERGED REPORT FEE - RESIDENTIAL MTG NETWORK YS101</t>
  </si>
  <si>
    <t>MERGED REPORT FEE - RMC HOME MORTGAGE, LLC</t>
  </si>
  <si>
    <t>MERGED REPORT FEE - THE MORTGAGE FIRM ONLY</t>
  </si>
  <si>
    <t>MERGED REPORT FEE - TRAILBLAZER MORTGAGE 71168</t>
  </si>
  <si>
    <t>MERGED REPORT FEE - TRAILBLAZER MORTGAGE LLC</t>
  </si>
  <si>
    <t>MERGED REPORT FEE - TRAILBLAZER MTG 71168</t>
  </si>
  <si>
    <t>TUC/JNT-SOFT</t>
  </si>
  <si>
    <t>TUC-SOFT</t>
  </si>
  <si>
    <t>PRE-QUAL REPORTS</t>
  </si>
  <si>
    <t>MTG RATING</t>
  </si>
  <si>
    <t>FNMA AUS ORDER CREDIT</t>
  </si>
  <si>
    <t>FNMA AUS CREDIT REISSUE</t>
  </si>
  <si>
    <t>FMAC LP AUS REISSUE</t>
  </si>
  <si>
    <t>CANADIAN REPORT</t>
  </si>
  <si>
    <t>CANADIAN CREDIT REPORT</t>
  </si>
  <si>
    <t>CCP</t>
  </si>
  <si>
    <t>CL_GEOAVM</t>
  </si>
  <si>
    <t>CANCELLATION CHARGE</t>
  </si>
  <si>
    <t>THIRD PARTY VENDOR</t>
  </si>
  <si>
    <t>POSTBACK:PREAUTH</t>
  </si>
  <si>
    <t>UPDATED PUBLIC RECORDS</t>
  </si>
  <si>
    <t>VERIFICATION OF RENT</t>
  </si>
  <si>
    <t>Fee Adjustment</t>
  </si>
  <si>
    <t>should be intergration</t>
  </si>
  <si>
    <t>ProductCode</t>
  </si>
  <si>
    <t>Product Category</t>
  </si>
  <si>
    <t>Credit</t>
  </si>
  <si>
    <t xml:space="preserve">Other Verifications </t>
  </si>
  <si>
    <t>Fraud</t>
  </si>
  <si>
    <t>VOE</t>
  </si>
  <si>
    <t>Integration Fee</t>
  </si>
  <si>
    <t xml:space="preserve">Property </t>
  </si>
  <si>
    <t xml:space="preserve">CL_IVAL                                                     </t>
  </si>
  <si>
    <t xml:space="preserve">COPIED FILE FEE - DIRECTIONS HOME LOAN                      </t>
  </si>
  <si>
    <t xml:space="preserve">COPIED FILE FEE - DIRECTORS MTG KA113 &amp; KA113A              </t>
  </si>
  <si>
    <t xml:space="preserve">COPIED FILE FEE - FOUR STATES BANK - JW124                  </t>
  </si>
  <si>
    <t xml:space="preserve">COPIED FILE FEE - MTH HOME LOANS, LLC                       </t>
  </si>
  <si>
    <t xml:space="preserve">COPIED FILE FEE - NW HOME LOANS, LLC                        </t>
  </si>
  <si>
    <t xml:space="preserve">COPIED FILE FEE - PARK SQUARE HOME MORTGAGE                 </t>
  </si>
  <si>
    <t xml:space="preserve">COPIED FILE FEE - THE MORTGAGE FIRM                         </t>
  </si>
  <si>
    <t xml:space="preserve">COPY FILE FEE - FIRST COLONY MTG CORP PR179                 </t>
  </si>
  <si>
    <t>UDN</t>
  </si>
  <si>
    <t>SSN</t>
  </si>
  <si>
    <t>FICO</t>
  </si>
  <si>
    <t>Flood</t>
  </si>
  <si>
    <t xml:space="preserve">MERGE REPORT FEE FOR CB FLEXID - CENTIER BANK               </t>
  </si>
  <si>
    <t xml:space="preserve">MERGED FILE FEE - DIRECTORS MTG KA113 &amp; KA113A              </t>
  </si>
  <si>
    <t xml:space="preserve">MERGED REPORT - DIRECTIONS HOME LOAN                        </t>
  </si>
  <si>
    <t xml:space="preserve">MERGED REPORT FEE - FIRST COLONY MTG CORP PR179             </t>
  </si>
  <si>
    <t xml:space="preserve">MERGED REPORT FEE - MTH HOME LOANS, LLC                     </t>
  </si>
  <si>
    <t xml:space="preserve">MERGED REPORT FEE - NW HOME LOANS, LLC                      </t>
  </si>
  <si>
    <t xml:space="preserve">MERGED REPORT FEE - PARK SQUARE HOME MORTGAGE               </t>
  </si>
  <si>
    <t xml:space="preserve">MERGED REPORT FEE - PARK SQUARE HOME MORTGAGE, LLC          </t>
  </si>
  <si>
    <t xml:space="preserve">MORTGAGEULTIMATEVOE                                         </t>
  </si>
  <si>
    <t xml:space="preserve">POSTBACK:ADV-120-CIVILCRT-A151D                             </t>
  </si>
  <si>
    <t>TRV</t>
  </si>
  <si>
    <t xml:space="preserve">POSTBACK:PERSON-BLJ-F190D                                   </t>
  </si>
  <si>
    <t>Score Navigator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</si>
</sst>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quotePrefix="1" applyAlignment="1">
      <alignment horizontal="lef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/>
    <xf numFmtId="0" fontId="0" fillId="3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4"/>
  <sheetViews>
    <sheetView topLeftCell="A41" workbookViewId="0">
      <selection activeCell="A62" sqref="A62"/>
    </sheetView>
  </sheetViews>
  <sheetFormatPr defaultRowHeight="14.5" x14ac:dyDescent="0.35"/>
  <cols>
    <col min="1" max="1" width="57.26953125" customWidth="1"/>
    <col min="2" max="2" width="13.26953125" style="3" customWidth="1"/>
    <col min="3" max="4" width="85" style="3" customWidth="1"/>
    <col min="5" max="5" width="71.1796875" customWidth="1"/>
    <col min="6" max="6" width="17.81640625" style="3" customWidth="1"/>
    <col min="7" max="7" width="42.54296875" customWidth="1"/>
  </cols>
  <sheetData>
    <row r="1" spans="1:7" x14ac:dyDescent="0.35">
      <c r="A1" s="1" t="s">
        <v>356</v>
      </c>
      <c r="B1" s="2" t="s">
        <v>406</v>
      </c>
      <c r="C1" s="2" t="s">
        <v>1015</v>
      </c>
      <c r="D1" s="2"/>
      <c r="E1" s="1" t="s">
        <v>369</v>
      </c>
      <c r="F1" s="2" t="s">
        <v>416</v>
      </c>
      <c r="G1" s="1" t="s">
        <v>417</v>
      </c>
    </row>
    <row r="2" spans="1:7" x14ac:dyDescent="0.35">
      <c r="B2" s="3" t="s">
        <v>371</v>
      </c>
      <c r="C2" s="12" t="s">
        <v>1091</v>
      </c>
      <c r="D2" s="10" t="str">
        <f>_xlfn.TEXTJOIN("",FALSE,"('",TRIM(C2),"',null,null,null),")</f>
        <v>('''--MISC--',null,null,null),</v>
      </c>
      <c r="E2" t="s">
        <v>408</v>
      </c>
    </row>
    <row r="3" spans="1:7" x14ac:dyDescent="0.35">
      <c r="A3" t="s">
        <v>56</v>
      </c>
      <c r="B3" s="3" t="s">
        <v>371</v>
      </c>
      <c r="C3" s="10" t="s">
        <v>56</v>
      </c>
      <c r="D3" s="10" t="str">
        <f t="shared" ref="D3:D49" si="0">_xlfn.TEXTJOIN("",FALSE,"('",TRIM(C3),"',null,null,null),")</f>
        <v>('--MISC--',null,null,null),</v>
      </c>
      <c r="E3" t="s">
        <v>407</v>
      </c>
    </row>
    <row r="4" spans="1:7" x14ac:dyDescent="0.35">
      <c r="C4" s="10" t="s">
        <v>1016</v>
      </c>
      <c r="D4" s="10" t="str">
        <f t="shared" si="0"/>
        <v>('1BUR REACCESS FEE',null,null,null),</v>
      </c>
      <c r="E4" t="s">
        <v>409</v>
      </c>
      <c r="F4" s="6">
        <v>44500</v>
      </c>
    </row>
    <row r="5" spans="1:7" x14ac:dyDescent="0.35">
      <c r="B5" s="3" t="s">
        <v>371</v>
      </c>
      <c r="C5" s="10" t="s">
        <v>1017</v>
      </c>
      <c r="D5" s="10" t="str">
        <f t="shared" si="0"/>
        <v>('1BUR RESCORE REACCESS FEE',null,null,null),</v>
      </c>
      <c r="E5" t="s">
        <v>410</v>
      </c>
    </row>
    <row r="6" spans="1:7" x14ac:dyDescent="0.35">
      <c r="B6" s="3" t="s">
        <v>371</v>
      </c>
      <c r="C6" s="10" t="s">
        <v>1018</v>
      </c>
      <c r="D6" s="10" t="str">
        <f t="shared" si="0"/>
        <v>('1BURJ REACCESS FEE',null,null,null),</v>
      </c>
      <c r="E6" t="s">
        <v>413</v>
      </c>
      <c r="F6" s="6">
        <v>42667</v>
      </c>
      <c r="G6" t="s">
        <v>420</v>
      </c>
    </row>
    <row r="7" spans="1:7" x14ac:dyDescent="0.35">
      <c r="B7" s="3" t="s">
        <v>371</v>
      </c>
      <c r="C7" s="10" t="s">
        <v>1019</v>
      </c>
      <c r="D7" s="10" t="str">
        <f t="shared" si="0"/>
        <v>('2BUR REACCESS FEE',null,null,null),</v>
      </c>
      <c r="E7" t="s">
        <v>411</v>
      </c>
    </row>
    <row r="8" spans="1:7" x14ac:dyDescent="0.35">
      <c r="B8" s="3" t="s">
        <v>371</v>
      </c>
      <c r="C8" s="10" t="s">
        <v>1020</v>
      </c>
      <c r="D8" s="10" t="str">
        <f t="shared" si="0"/>
        <v>('2BUR RESCORE REACCESS FEE',null,null,null),</v>
      </c>
      <c r="E8" s="5" t="s">
        <v>412</v>
      </c>
      <c r="F8" s="6">
        <v>44420</v>
      </c>
      <c r="G8" t="s">
        <v>418</v>
      </c>
    </row>
    <row r="9" spans="1:7" x14ac:dyDescent="0.35">
      <c r="B9" s="3" t="s">
        <v>371</v>
      </c>
      <c r="C9" s="10" t="s">
        <v>1021</v>
      </c>
      <c r="D9" s="10" t="str">
        <f t="shared" si="0"/>
        <v>('2BURJ REACCESS FEE',null,null,null),</v>
      </c>
      <c r="E9" s="5" t="s">
        <v>412</v>
      </c>
      <c r="G9" t="s">
        <v>419</v>
      </c>
    </row>
    <row r="10" spans="1:7" x14ac:dyDescent="0.35">
      <c r="A10" t="s">
        <v>192</v>
      </c>
      <c r="B10" s="3" t="s">
        <v>371</v>
      </c>
      <c r="C10" s="10" t="s">
        <v>192</v>
      </c>
      <c r="D10" s="10" t="str">
        <f t="shared" si="0"/>
        <v>('3P_REISSUE',null,null,null),</v>
      </c>
      <c r="E10" t="s">
        <v>421</v>
      </c>
      <c r="G10" s="4" t="s">
        <v>423</v>
      </c>
    </row>
    <row r="11" spans="1:7" x14ac:dyDescent="0.35">
      <c r="A11" t="s">
        <v>43</v>
      </c>
      <c r="B11" s="3" t="s">
        <v>371</v>
      </c>
      <c r="C11" s="10" t="s">
        <v>43</v>
      </c>
      <c r="D11" s="10" t="str">
        <f t="shared" si="0"/>
        <v>('A - FBC FRAUD',null,null,null),</v>
      </c>
    </row>
    <row r="12" spans="1:7" x14ac:dyDescent="0.35">
      <c r="A12" t="s">
        <v>167</v>
      </c>
      <c r="B12" s="3" t="s">
        <v>371</v>
      </c>
      <c r="C12" s="10" t="s">
        <v>167</v>
      </c>
      <c r="D12" s="10" t="str">
        <f t="shared" si="0"/>
        <v>('ABLNCHARGE',null,null,null),</v>
      </c>
    </row>
    <row r="13" spans="1:7" x14ac:dyDescent="0.35">
      <c r="A13" t="s">
        <v>236</v>
      </c>
      <c r="B13" s="3" t="s">
        <v>371</v>
      </c>
      <c r="C13" s="10" t="s">
        <v>236</v>
      </c>
      <c r="D13" s="10" t="str">
        <f t="shared" si="0"/>
        <v>('ACCOUNTCHEK1',null,null,null),</v>
      </c>
    </row>
    <row r="14" spans="1:7" x14ac:dyDescent="0.35">
      <c r="A14" t="s">
        <v>136</v>
      </c>
      <c r="B14" s="3" t="s">
        <v>371</v>
      </c>
      <c r="C14" s="10" t="s">
        <v>136</v>
      </c>
      <c r="D14" s="10" t="str">
        <f t="shared" si="0"/>
        <v>('ACCOUNTCHEK30',null,null,null),</v>
      </c>
    </row>
    <row r="15" spans="1:7" x14ac:dyDescent="0.35">
      <c r="A15" t="s">
        <v>129</v>
      </c>
      <c r="B15" s="3" t="s">
        <v>371</v>
      </c>
      <c r="C15" s="10" t="s">
        <v>129</v>
      </c>
      <c r="D15" s="10" t="str">
        <f t="shared" si="0"/>
        <v>('ACCOUNTCHEK60',null,null,null),</v>
      </c>
    </row>
    <row r="16" spans="1:7" x14ac:dyDescent="0.35">
      <c r="A16" t="s">
        <v>62</v>
      </c>
      <c r="B16" s="3" t="s">
        <v>371</v>
      </c>
      <c r="C16" s="10" t="s">
        <v>62</v>
      </c>
      <c r="D16" s="10" t="str">
        <f t="shared" si="0"/>
        <v>('ACCOUNTCHEK90',null,null,null),</v>
      </c>
    </row>
    <row r="17" spans="1:4" x14ac:dyDescent="0.35">
      <c r="A17" t="s">
        <v>279</v>
      </c>
      <c r="B17" s="3" t="s">
        <v>371</v>
      </c>
      <c r="C17" s="10" t="s">
        <v>279</v>
      </c>
      <c r="D17" s="10" t="str">
        <f t="shared" si="0"/>
        <v>('ACQUISITION ALERTS - MORTGAGE INQUIRIES',null,null,null),</v>
      </c>
    </row>
    <row r="18" spans="1:4" x14ac:dyDescent="0.35">
      <c r="A18" t="s">
        <v>34</v>
      </c>
      <c r="B18" s="3" t="s">
        <v>371</v>
      </c>
      <c r="C18" s="10" t="s">
        <v>34</v>
      </c>
      <c r="D18" s="10" t="str">
        <f t="shared" si="0"/>
        <v>('ADD1BI',null,null,null),</v>
      </c>
    </row>
    <row r="19" spans="1:4" x14ac:dyDescent="0.35">
      <c r="A19" t="s">
        <v>7</v>
      </c>
      <c r="B19" s="3" t="s">
        <v>371</v>
      </c>
      <c r="C19" s="10" t="s">
        <v>7</v>
      </c>
      <c r="D19" s="10" t="str">
        <f t="shared" si="0"/>
        <v>('ADD1BJ',null,null,null),</v>
      </c>
    </row>
    <row r="20" spans="1:4" x14ac:dyDescent="0.35">
      <c r="A20" t="s">
        <v>210</v>
      </c>
      <c r="B20" s="3" t="s">
        <v>371</v>
      </c>
      <c r="C20" s="10" t="s">
        <v>210</v>
      </c>
      <c r="D20" s="10" t="str">
        <f t="shared" si="0"/>
        <v>('ADD2BI',null,null,null),</v>
      </c>
    </row>
    <row r="21" spans="1:4" x14ac:dyDescent="0.35">
      <c r="A21" t="s">
        <v>5</v>
      </c>
      <c r="B21" s="3" t="s">
        <v>371</v>
      </c>
      <c r="C21" s="10" t="s">
        <v>5</v>
      </c>
      <c r="D21" s="10" t="str">
        <f t="shared" si="0"/>
        <v>('ADD2BJ',null,null,null),</v>
      </c>
    </row>
    <row r="22" spans="1:4" x14ac:dyDescent="0.35">
      <c r="A22" t="s">
        <v>326</v>
      </c>
      <c r="B22" s="3" t="s">
        <v>371</v>
      </c>
      <c r="C22" s="11" t="s">
        <v>326</v>
      </c>
      <c r="D22" s="10" t="str">
        <f t="shared" si="0"/>
        <v>('ADD3BI',null,null,null),</v>
      </c>
    </row>
    <row r="23" spans="1:4" x14ac:dyDescent="0.35">
      <c r="A23" t="s">
        <v>229</v>
      </c>
      <c r="B23" s="3" t="s">
        <v>371</v>
      </c>
      <c r="C23" s="10" t="s">
        <v>229</v>
      </c>
      <c r="D23" s="10" t="str">
        <f t="shared" si="0"/>
        <v>('ADDCOB',null,null,null),</v>
      </c>
    </row>
    <row r="24" spans="1:4" x14ac:dyDescent="0.35">
      <c r="A24" t="s">
        <v>121</v>
      </c>
      <c r="B24" s="3" t="s">
        <v>371</v>
      </c>
      <c r="C24" s="10" t="s">
        <v>121</v>
      </c>
      <c r="D24" s="10" t="str">
        <f t="shared" si="0"/>
        <v>('ADDCOB1B',null,null,null),</v>
      </c>
    </row>
    <row r="25" spans="1:4" x14ac:dyDescent="0.35">
      <c r="A25" t="s">
        <v>227</v>
      </c>
      <c r="B25" s="3" t="s">
        <v>371</v>
      </c>
      <c r="C25" s="10" t="s">
        <v>227</v>
      </c>
      <c r="D25" s="10" t="str">
        <f t="shared" si="0"/>
        <v>('ADDCOB2B',null,null,null),</v>
      </c>
    </row>
    <row r="26" spans="1:4" x14ac:dyDescent="0.35">
      <c r="A26" t="s">
        <v>3</v>
      </c>
      <c r="B26" s="3" t="s">
        <v>371</v>
      </c>
      <c r="C26" s="10" t="s">
        <v>3</v>
      </c>
      <c r="D26" s="10" t="str">
        <f t="shared" si="0"/>
        <v>('ADDSPOUSE',null,null,null),</v>
      </c>
    </row>
    <row r="27" spans="1:4" x14ac:dyDescent="0.35">
      <c r="A27" t="s">
        <v>91</v>
      </c>
      <c r="B27" s="3" t="s">
        <v>371</v>
      </c>
      <c r="C27" s="10" t="s">
        <v>91</v>
      </c>
      <c r="D27" s="10" t="str">
        <f t="shared" si="0"/>
        <v>('ADV REPORT',null,null,null),</v>
      </c>
    </row>
    <row r="28" spans="1:4" x14ac:dyDescent="0.35">
      <c r="A28" t="s">
        <v>311</v>
      </c>
      <c r="B28" s="3" t="s">
        <v>371</v>
      </c>
      <c r="C28" s="10" t="s">
        <v>311</v>
      </c>
      <c r="D28" s="10" t="str">
        <f t="shared" si="0"/>
        <v>('ADV120',null,null,null),</v>
      </c>
    </row>
    <row r="29" spans="1:4" x14ac:dyDescent="0.35">
      <c r="A29" t="s">
        <v>152</v>
      </c>
      <c r="B29" s="3" t="s">
        <v>371</v>
      </c>
      <c r="C29" s="11" t="s">
        <v>152</v>
      </c>
      <c r="D29" s="10" t="str">
        <f t="shared" si="0"/>
        <v>('ADV120_EXPERT',null,null,null),</v>
      </c>
    </row>
    <row r="30" spans="1:4" x14ac:dyDescent="0.35">
      <c r="A30" t="s">
        <v>203</v>
      </c>
      <c r="B30" s="3" t="s">
        <v>371</v>
      </c>
      <c r="C30" s="11" t="s">
        <v>203</v>
      </c>
      <c r="D30" s="10" t="str">
        <f t="shared" si="0"/>
        <v>('ADV130_EXPERT',null,null,null),</v>
      </c>
    </row>
    <row r="31" spans="1:4" x14ac:dyDescent="0.35">
      <c r="A31" t="s">
        <v>276</v>
      </c>
      <c r="B31" s="3" t="s">
        <v>371</v>
      </c>
      <c r="C31" s="11" t="s">
        <v>276</v>
      </c>
      <c r="D31" s="10" t="str">
        <f t="shared" si="0"/>
        <v>('ADVCUSTOM_EXPERT',null,null,null),</v>
      </c>
    </row>
    <row r="32" spans="1:4" x14ac:dyDescent="0.35">
      <c r="A32" t="s">
        <v>179</v>
      </c>
      <c r="B32" s="3" t="s">
        <v>371</v>
      </c>
      <c r="C32" s="11" t="s">
        <v>179</v>
      </c>
      <c r="D32" s="10" t="str">
        <f t="shared" si="0"/>
        <v>('A-MERS/ID INVEST/MPR',null,null,null),</v>
      </c>
    </row>
    <row r="33" spans="1:4" x14ac:dyDescent="0.35">
      <c r="A33" t="s">
        <v>29</v>
      </c>
      <c r="B33" s="3" t="s">
        <v>371</v>
      </c>
      <c r="C33" s="11" t="s">
        <v>29</v>
      </c>
      <c r="D33" s="10" t="str">
        <f t="shared" si="0"/>
        <v>('A-PLATINUM FRAUD',null,null,null),</v>
      </c>
    </row>
    <row r="34" spans="1:4" x14ac:dyDescent="0.35">
      <c r="B34" s="3" t="s">
        <v>371</v>
      </c>
      <c r="C34" s="10" t="s">
        <v>1013</v>
      </c>
      <c r="D34" s="10" t="str">
        <f t="shared" si="0"/>
        <v>('ARMCOACES-ORDER',null,null,null),</v>
      </c>
    </row>
    <row r="35" spans="1:4" x14ac:dyDescent="0.35">
      <c r="B35" s="3" t="s">
        <v>371</v>
      </c>
      <c r="C35" s="10" t="s">
        <v>1014</v>
      </c>
      <c r="D35" s="10" t="str">
        <f t="shared" si="0"/>
        <v>('ARMCOACES02Tax Transcript Interface Fee',null,null,null),</v>
      </c>
    </row>
    <row r="36" spans="1:4" x14ac:dyDescent="0.35">
      <c r="B36" s="3" t="s">
        <v>371</v>
      </c>
      <c r="C36" s="10" t="s">
        <v>1022</v>
      </c>
      <c r="D36" s="10" t="str">
        <f t="shared" si="0"/>
        <v>('ATTRIBUTES PORTFOLIO',null,null,null),</v>
      </c>
    </row>
    <row r="37" spans="1:4" x14ac:dyDescent="0.35">
      <c r="A37" t="s">
        <v>188</v>
      </c>
      <c r="B37" s="3" t="s">
        <v>371</v>
      </c>
      <c r="C37" s="10" t="s">
        <v>188</v>
      </c>
      <c r="D37" s="10" t="str">
        <f t="shared" si="0"/>
        <v>('AUS CREDIT REISSUE',null,null,null),</v>
      </c>
    </row>
    <row r="38" spans="1:4" x14ac:dyDescent="0.35">
      <c r="A38" t="s">
        <v>1</v>
      </c>
      <c r="B38" s="3" t="s">
        <v>371</v>
      </c>
      <c r="C38" s="10" t="s">
        <v>1</v>
      </c>
      <c r="D38" s="10" t="str">
        <f t="shared" si="0"/>
        <v>('AUS ORDER CREDIT',null,null,null),</v>
      </c>
    </row>
    <row r="39" spans="1:4" x14ac:dyDescent="0.35">
      <c r="A39" t="s">
        <v>226</v>
      </c>
      <c r="B39" s="3" t="s">
        <v>371</v>
      </c>
      <c r="C39" s="10" t="s">
        <v>226</v>
      </c>
      <c r="D39" s="10" t="str">
        <f t="shared" si="0"/>
        <v>('AUTOPAY',null,null,null),</v>
      </c>
    </row>
    <row r="40" spans="1:4" x14ac:dyDescent="0.35">
      <c r="B40" s="3" t="s">
        <v>371</v>
      </c>
      <c r="C40" s="10" t="s">
        <v>1023</v>
      </c>
      <c r="D40" s="10" t="str">
        <f t="shared" si="0"/>
        <v>('AVISTASOLUTION-ORDER',null,null,null),</v>
      </c>
    </row>
    <row r="41" spans="1:4" x14ac:dyDescent="0.35">
      <c r="B41" s="3" t="s">
        <v>371</v>
      </c>
      <c r="C41" s="10" t="s">
        <v>1024</v>
      </c>
      <c r="D41" s="10" t="str">
        <f t="shared" si="0"/>
        <v>('AVISTASOLUTION-RETRIEVE',null,null,null),</v>
      </c>
    </row>
    <row r="42" spans="1:4" x14ac:dyDescent="0.35">
      <c r="A42" t="s">
        <v>310</v>
      </c>
      <c r="B42" s="3" t="s">
        <v>371</v>
      </c>
      <c r="C42" s="10" t="s">
        <v>310</v>
      </c>
      <c r="D42" s="10" t="str">
        <f t="shared" si="0"/>
        <v>('BEANSTALK-ORDER',null,null,null),</v>
      </c>
    </row>
    <row r="43" spans="1:4" x14ac:dyDescent="0.35">
      <c r="A43" t="s">
        <v>250</v>
      </c>
      <c r="B43" s="3" t="s">
        <v>371</v>
      </c>
      <c r="C43" s="10" t="s">
        <v>250</v>
      </c>
      <c r="D43" s="10" t="str">
        <f t="shared" si="0"/>
        <v>('BEANSTALK-RETRIEVE',null,null,null),</v>
      </c>
    </row>
    <row r="44" spans="1:4" x14ac:dyDescent="0.35">
      <c r="B44" s="3" t="s">
        <v>371</v>
      </c>
      <c r="C44" s="10" t="s">
        <v>1025</v>
      </c>
      <c r="D44" s="10" t="str">
        <f t="shared" si="0"/>
        <v>('BLEND-ORDER',null,null,null),</v>
      </c>
    </row>
    <row r="45" spans="1:4" x14ac:dyDescent="0.35">
      <c r="B45" s="3" t="s">
        <v>371</v>
      </c>
      <c r="C45" s="10" t="s">
        <v>1026</v>
      </c>
      <c r="D45" s="10" t="str">
        <f t="shared" si="0"/>
        <v>('BLEND-RETRIEVE',null,null,null),</v>
      </c>
    </row>
    <row r="46" spans="1:4" x14ac:dyDescent="0.35">
      <c r="A46" t="s">
        <v>223</v>
      </c>
      <c r="B46" s="3" t="s">
        <v>371</v>
      </c>
      <c r="C46" s="11" t="s">
        <v>223</v>
      </c>
      <c r="D46" s="10" t="str">
        <f t="shared" si="0"/>
        <v>('B-MERS/ID INVEST',null,null,null),</v>
      </c>
    </row>
    <row r="47" spans="1:4" x14ac:dyDescent="0.35">
      <c r="A47" t="s">
        <v>2</v>
      </c>
      <c r="B47" s="3" t="s">
        <v>371</v>
      </c>
      <c r="C47" s="10" t="s">
        <v>2</v>
      </c>
      <c r="D47" s="10" t="str">
        <f t="shared" si="0"/>
        <v>('BUNDLED CREDIT FEE',null,null,null),</v>
      </c>
    </row>
    <row r="48" spans="1:4" x14ac:dyDescent="0.35">
      <c r="A48" t="s">
        <v>74</v>
      </c>
      <c r="B48" s="3" t="s">
        <v>371</v>
      </c>
      <c r="C48" s="10" t="s">
        <v>74</v>
      </c>
      <c r="D48" s="10" t="str">
        <f t="shared" si="0"/>
        <v>('BUS_CREDIT',null,null,null),</v>
      </c>
    </row>
    <row r="49" spans="1:4" x14ac:dyDescent="0.35">
      <c r="A49" t="s">
        <v>79</v>
      </c>
      <c r="B49" s="3" t="s">
        <v>371</v>
      </c>
      <c r="C49" t="s">
        <v>79</v>
      </c>
      <c r="D49" s="10" t="str">
        <f t="shared" si="0"/>
        <v>('BUSINESS REPORT',null,null,null),</v>
      </c>
    </row>
    <row r="50" spans="1:4" x14ac:dyDescent="0.35">
      <c r="B50" s="3" t="s">
        <v>371</v>
      </c>
      <c r="C50" s="10" t="s">
        <v>1027</v>
      </c>
      <c r="D50" s="10" t="str">
        <f t="shared" ref="D50:D67" si="1">_xlfn.TEXTJOIN("",FALSE,"('",TRIM(C50),"',null,null,null),")</f>
        <v>('BUSINESS CREDIT WITH INTELLISCORE',null,null,null),</v>
      </c>
    </row>
    <row r="51" spans="1:4" x14ac:dyDescent="0.35">
      <c r="A51" t="s">
        <v>165</v>
      </c>
      <c r="B51" s="3" t="s">
        <v>371</v>
      </c>
      <c r="C51" s="10" t="s">
        <v>165</v>
      </c>
      <c r="D51" s="10" t="str">
        <f t="shared" si="1"/>
        <v>('BYTE-ORDER',null,null,null),</v>
      </c>
    </row>
    <row r="52" spans="1:4" x14ac:dyDescent="0.35">
      <c r="A52" t="s">
        <v>231</v>
      </c>
      <c r="B52" s="3" t="s">
        <v>371</v>
      </c>
      <c r="C52" s="10" t="s">
        <v>231</v>
      </c>
      <c r="D52" s="10" t="str">
        <f t="shared" si="1"/>
        <v>('BYTE-RETRIEVE',null,null,null),</v>
      </c>
    </row>
    <row r="53" spans="1:4" x14ac:dyDescent="0.35">
      <c r="A53" t="s">
        <v>33</v>
      </c>
      <c r="B53" s="3" t="s">
        <v>371</v>
      </c>
      <c r="C53" s="10" t="s">
        <v>33</v>
      </c>
      <c r="D53" s="10" t="str">
        <f t="shared" si="1"/>
        <v>('CALYX DIRECT-ORDER',null,null,null),</v>
      </c>
    </row>
    <row r="54" spans="1:4" x14ac:dyDescent="0.35">
      <c r="A54" t="s">
        <v>138</v>
      </c>
      <c r="B54" s="3" t="s">
        <v>371</v>
      </c>
      <c r="C54" s="10" t="s">
        <v>138</v>
      </c>
      <c r="D54" s="10" t="str">
        <f t="shared" si="1"/>
        <v>('CALYX DIRECT-RETRIEVE',null,null,null),</v>
      </c>
    </row>
    <row r="55" spans="1:4" x14ac:dyDescent="0.35">
      <c r="A55" t="s">
        <v>39</v>
      </c>
      <c r="B55" s="3" t="s">
        <v>371</v>
      </c>
      <c r="C55" s="10" t="s">
        <v>1028</v>
      </c>
      <c r="D55" s="10" t="str">
        <f t="shared" si="1"/>
        <v>('CALYXDIRECT-ORDER',null,null,null),</v>
      </c>
    </row>
    <row r="56" spans="1:4" x14ac:dyDescent="0.35">
      <c r="B56" s="3" t="s">
        <v>371</v>
      </c>
      <c r="C56" s="10" t="s">
        <v>1029</v>
      </c>
      <c r="D56" s="10" t="str">
        <f t="shared" si="1"/>
        <v>('CALYXDIRECT-RETRIEVE',null,null,null),</v>
      </c>
    </row>
    <row r="57" spans="1:4" x14ac:dyDescent="0.35">
      <c r="A57" t="s">
        <v>93</v>
      </c>
      <c r="B57" s="3" t="s">
        <v>371</v>
      </c>
      <c r="C57" s="10" t="s">
        <v>93</v>
      </c>
      <c r="D57" s="10" t="str">
        <f t="shared" si="1"/>
        <v>('CANADIAN CREDIT REPORT',null,null,null),</v>
      </c>
    </row>
    <row r="58" spans="1:4" x14ac:dyDescent="0.35">
      <c r="A58" t="s">
        <v>169</v>
      </c>
      <c r="B58" s="3" t="s">
        <v>371</v>
      </c>
      <c r="C58" s="10" t="s">
        <v>169</v>
      </c>
      <c r="D58" s="10" t="str">
        <f t="shared" si="1"/>
        <v>('CANADIAN REPORT',null,null,null),</v>
      </c>
    </row>
    <row r="59" spans="1:4" x14ac:dyDescent="0.35">
      <c r="A59" t="s">
        <v>270</v>
      </c>
      <c r="B59" s="3" t="s">
        <v>371</v>
      </c>
      <c r="C59" s="10" t="s">
        <v>270</v>
      </c>
      <c r="D59" s="10" t="str">
        <f t="shared" si="1"/>
        <v>('CANCELLATION CHARGE',null,null,null),</v>
      </c>
    </row>
    <row r="60" spans="1:4" x14ac:dyDescent="0.35">
      <c r="B60" s="3" t="s">
        <v>371</v>
      </c>
      <c r="C60" s="10" t="s">
        <v>1030</v>
      </c>
      <c r="D60" s="10" t="str">
        <f t="shared" si="1"/>
        <v>('CASCADE ALERTS - MORTGAGE INQUIRIES',null,null,null),</v>
      </c>
    </row>
    <row r="61" spans="1:4" x14ac:dyDescent="0.35">
      <c r="A61" t="s">
        <v>28</v>
      </c>
      <c r="B61" s="3" t="s">
        <v>371</v>
      </c>
      <c r="C61" t="s">
        <v>28</v>
      </c>
      <c r="D61" s="10" t="str">
        <f t="shared" si="1"/>
        <v>('CASCADE ALERTS STANDARD',null,null,null),</v>
      </c>
    </row>
    <row r="62" spans="1:4" x14ac:dyDescent="0.35">
      <c r="A62" t="s">
        <v>139</v>
      </c>
      <c r="B62" s="3" t="s">
        <v>371</v>
      </c>
      <c r="C62" s="10" t="s">
        <v>139</v>
      </c>
      <c r="D62" s="10" t="str">
        <f t="shared" si="1"/>
        <v>('CC TRAN FEE',null,null,null),</v>
      </c>
    </row>
    <row r="63" spans="1:4" x14ac:dyDescent="0.35">
      <c r="A63" t="s">
        <v>69</v>
      </c>
      <c r="B63" s="3" t="s">
        <v>371</v>
      </c>
      <c r="C63" s="10" t="s">
        <v>69</v>
      </c>
      <c r="D63" s="10" t="str">
        <f t="shared" si="1"/>
        <v>('CCP',null,null,null),</v>
      </c>
    </row>
    <row r="64" spans="1:4" x14ac:dyDescent="0.35">
      <c r="B64" s="3" t="s">
        <v>371</v>
      </c>
      <c r="C64" s="10" t="s">
        <v>1031</v>
      </c>
      <c r="D64" s="10" t="str">
        <f t="shared" si="1"/>
        <v>('CL_GEOAVM',null,null,null),</v>
      </c>
    </row>
    <row r="65" spans="1:4" x14ac:dyDescent="0.35">
      <c r="A65" t="s">
        <v>119</v>
      </c>
      <c r="B65" s="3" t="s">
        <v>371</v>
      </c>
      <c r="C65" s="10" t="s">
        <v>119</v>
      </c>
      <c r="D65" s="10" t="str">
        <f t="shared" si="1"/>
        <v>('CL_HVE',null,null,null),</v>
      </c>
    </row>
    <row r="66" spans="1:4" x14ac:dyDescent="0.35">
      <c r="A66" t="s">
        <v>153</v>
      </c>
      <c r="B66" s="3" t="s">
        <v>371</v>
      </c>
      <c r="C66" s="11" t="s">
        <v>153</v>
      </c>
      <c r="D66" s="10" t="str">
        <f t="shared" si="1"/>
        <v>('CLOSED LOAN ADJUSTMENT',null,null,null),</v>
      </c>
    </row>
    <row r="67" spans="1:4" x14ac:dyDescent="0.35">
      <c r="A67" t="s">
        <v>281</v>
      </c>
      <c r="B67" s="3" t="s">
        <v>371</v>
      </c>
      <c r="C67" s="10" t="s">
        <v>281</v>
      </c>
      <c r="D67" s="10" t="str">
        <f t="shared" si="1"/>
        <v>('COMPARISON REPORT',null,null,null),</v>
      </c>
    </row>
    <row r="68" spans="1:4" x14ac:dyDescent="0.35">
      <c r="A68" t="s">
        <v>80</v>
      </c>
      <c r="B68" s="3" t="s">
        <v>371</v>
      </c>
      <c r="C68" s="10" t="s">
        <v>80</v>
      </c>
      <c r="D68" s="10" t="str">
        <f t="shared" ref="D68:D131" si="2">_xlfn.TEXTJOIN("",FALSE,"('",TRIM(C68),"',null,null,null),")</f>
        <v>('CONSUMER_IDV',null,null,null),</v>
      </c>
    </row>
    <row r="69" spans="1:4" x14ac:dyDescent="0.35">
      <c r="A69" t="s">
        <v>185</v>
      </c>
      <c r="B69" s="3" t="s">
        <v>371</v>
      </c>
      <c r="C69" s="11" t="s">
        <v>185</v>
      </c>
      <c r="D69" s="10" t="str">
        <f t="shared" si="2"/>
        <v>('COPIED FILE',null,null,null),</v>
      </c>
    </row>
    <row r="70" spans="1:4" x14ac:dyDescent="0.35">
      <c r="A70" t="s">
        <v>0</v>
      </c>
      <c r="B70" s="3" t="s">
        <v>371</v>
      </c>
      <c r="C70" s="10" t="s">
        <v>0</v>
      </c>
      <c r="D70" s="10" t="str">
        <f t="shared" si="2"/>
        <v>('COPIED FILE FEE',null,null,null),</v>
      </c>
    </row>
    <row r="71" spans="1:4" x14ac:dyDescent="0.35">
      <c r="A71" t="s">
        <v>343</v>
      </c>
      <c r="B71" s="3" t="s">
        <v>371</v>
      </c>
      <c r="C71" s="10" t="s">
        <v>343</v>
      </c>
      <c r="D71" s="10" t="str">
        <f t="shared" si="2"/>
        <v>('COPIED FILE FEE - 71137 PARK SQUARE HOME MTG ONLY',null,null,null),</v>
      </c>
    </row>
    <row r="72" spans="1:4" x14ac:dyDescent="0.35">
      <c r="A72" t="s">
        <v>340</v>
      </c>
      <c r="B72" s="3" t="s">
        <v>371</v>
      </c>
      <c r="C72" s="10" t="s">
        <v>340</v>
      </c>
      <c r="D72" s="10" t="str">
        <f t="shared" si="2"/>
        <v>('COPIED FILE FEE - 71166 JET HOMELOANS LLC ONLY',null,null,null),</v>
      </c>
    </row>
    <row r="73" spans="1:4" x14ac:dyDescent="0.35">
      <c r="A73" t="s">
        <v>278</v>
      </c>
      <c r="B73" s="3" t="s">
        <v>371</v>
      </c>
      <c r="C73" s="10" t="s">
        <v>278</v>
      </c>
      <c r="D73" s="10" t="str">
        <f t="shared" si="2"/>
        <v>('COPIED FILE FEE - 71168 TRAILBLAZER MORTGAGE ONLY',null,null,null),</v>
      </c>
    </row>
    <row r="74" spans="1:4" x14ac:dyDescent="0.35">
      <c r="A74" t="s">
        <v>225</v>
      </c>
      <c r="B74" s="3" t="s">
        <v>371</v>
      </c>
      <c r="C74" s="10" t="s">
        <v>225</v>
      </c>
      <c r="D74" s="10" t="str">
        <f t="shared" si="2"/>
        <v>('COPIED FILE FEE - 71169 RMC HOME MORTGAGE ONLY',null,null,null),</v>
      </c>
    </row>
    <row r="75" spans="1:4" x14ac:dyDescent="0.35">
      <c r="A75" t="s">
        <v>296</v>
      </c>
      <c r="B75" s="3" t="s">
        <v>371</v>
      </c>
      <c r="C75" s="10" t="s">
        <v>296</v>
      </c>
      <c r="D75" s="10" t="str">
        <f t="shared" si="2"/>
        <v>('COPIED FILE FEE - 71174 COASTAL LOANS LLC ONLY',null,null,null),</v>
      </c>
    </row>
    <row r="76" spans="1:4" x14ac:dyDescent="0.35">
      <c r="A76" t="s">
        <v>65</v>
      </c>
      <c r="B76" s="3" t="s">
        <v>371</v>
      </c>
      <c r="C76" s="10" t="s">
        <v>65</v>
      </c>
      <c r="D76" s="10" t="str">
        <f t="shared" si="2"/>
        <v>('COPIED FILE FEE - 71180 HOMEOWNERS MORTGAGE ONLY',null,null,null),</v>
      </c>
    </row>
    <row r="77" spans="1:4" x14ac:dyDescent="0.35">
      <c r="A77" t="s">
        <v>89</v>
      </c>
      <c r="B77" s="3" t="s">
        <v>371</v>
      </c>
      <c r="C77" s="10" t="s">
        <v>89</v>
      </c>
      <c r="D77" s="10" t="str">
        <f t="shared" si="2"/>
        <v>('COPIED FILE FEE - 71187 MHC MORTGAGE LLC ONLY',null,null,null),</v>
      </c>
    </row>
    <row r="78" spans="1:4" x14ac:dyDescent="0.35">
      <c r="A78" t="s">
        <v>86</v>
      </c>
      <c r="B78" s="3" t="s">
        <v>371</v>
      </c>
      <c r="C78" s="10" t="s">
        <v>86</v>
      </c>
      <c r="D78" s="10" t="str">
        <f t="shared" si="2"/>
        <v>('COPIED FILE FEE - 9011 SUN WEST MORTGAGE ONLY',null,null,null),</v>
      </c>
    </row>
    <row r="79" spans="1:4" x14ac:dyDescent="0.35">
      <c r="B79" s="3" t="s">
        <v>371</v>
      </c>
      <c r="C79" s="10" t="s">
        <v>1032</v>
      </c>
      <c r="D79" s="10" t="str">
        <f t="shared" si="2"/>
        <v>('COPIED FILE FEE - ACRISURE MORTGAGE, LLC',null,null,null),</v>
      </c>
    </row>
    <row r="80" spans="1:4" x14ac:dyDescent="0.35">
      <c r="A80" t="s">
        <v>27</v>
      </c>
      <c r="B80" s="3" t="s">
        <v>371</v>
      </c>
      <c r="C80" s="10" t="s">
        <v>27</v>
      </c>
      <c r="D80" s="10" t="str">
        <f t="shared" si="2"/>
        <v>('COPIED FILE FEE - ALTITUDE FINANCIAL FA114',null,null,null),</v>
      </c>
    </row>
    <row r="81" spans="1:4" x14ac:dyDescent="0.35">
      <c r="A81" t="s">
        <v>19</v>
      </c>
      <c r="B81" s="3" t="s">
        <v>371</v>
      </c>
      <c r="C81" s="11" t="s">
        <v>19</v>
      </c>
      <c r="D81" s="10" t="str">
        <f t="shared" si="2"/>
        <v>('COPIED FILE FEE - C22404 MY LOAN UNDERWRITERS ONLY',null,null,null),</v>
      </c>
    </row>
    <row r="82" spans="1:4" x14ac:dyDescent="0.35">
      <c r="A82" t="s">
        <v>20</v>
      </c>
      <c r="B82" s="3" t="s">
        <v>371</v>
      </c>
      <c r="C82" s="10" t="s">
        <v>20</v>
      </c>
      <c r="D82" s="10" t="str">
        <f t="shared" si="2"/>
        <v>('COPIED FILE FEE - C22529 OPTION FUNDING ONLY',null,null,null),</v>
      </c>
    </row>
    <row r="83" spans="1:4" x14ac:dyDescent="0.35">
      <c r="A83" t="s">
        <v>219</v>
      </c>
      <c r="B83" s="3" t="s">
        <v>371</v>
      </c>
      <c r="C83" s="10" t="s">
        <v>219</v>
      </c>
      <c r="D83" s="10" t="str">
        <f t="shared" si="2"/>
        <v>('COPIED FILE FEE - C72529 OPTION FUNDING ONLY',null,null,null),</v>
      </c>
    </row>
    <row r="84" spans="1:4" x14ac:dyDescent="0.35">
      <c r="A84" t="s">
        <v>26</v>
      </c>
      <c r="B84" s="3" t="s">
        <v>371</v>
      </c>
      <c r="C84" s="10" t="s">
        <v>26</v>
      </c>
      <c r="D84" s="10" t="str">
        <f t="shared" si="2"/>
        <v>('COPIED FILE FEE - CENTIER BANK JW111',null,null,null),</v>
      </c>
    </row>
    <row r="85" spans="1:4" x14ac:dyDescent="0.35">
      <c r="A85" t="s">
        <v>350</v>
      </c>
      <c r="B85" s="3" t="s">
        <v>371</v>
      </c>
      <c r="C85" s="10" t="s">
        <v>350</v>
      </c>
      <c r="D85" s="10" t="str">
        <f t="shared" si="2"/>
        <v>('COPIED FILE FEE - CHOICE MORTGAGE 71184',null,null,null),</v>
      </c>
    </row>
    <row r="86" spans="1:4" x14ac:dyDescent="0.35">
      <c r="A86" t="s">
        <v>341</v>
      </c>
      <c r="B86" s="3" t="s">
        <v>371</v>
      </c>
      <c r="C86" s="10" t="s">
        <v>341</v>
      </c>
      <c r="D86" s="10" t="str">
        <f t="shared" si="2"/>
        <v>('COPIED FILE FEE - COASTAL LOANS LLC 71174',null,null,null),</v>
      </c>
    </row>
    <row r="87" spans="1:4" x14ac:dyDescent="0.35">
      <c r="B87" s="3" t="s">
        <v>371</v>
      </c>
      <c r="C87" s="10" t="s">
        <v>1033</v>
      </c>
      <c r="D87" s="10" t="str">
        <f t="shared" si="2"/>
        <v>('COPIED FILE FEE - COASTAL LOANS, LLC',null,null,null),</v>
      </c>
    </row>
    <row r="88" spans="1:4" x14ac:dyDescent="0.35">
      <c r="B88" s="3" t="s">
        <v>371</v>
      </c>
      <c r="C88" s="10" t="s">
        <v>1034</v>
      </c>
      <c r="D88" s="10" t="str">
        <f t="shared" si="2"/>
        <v>('COPIED FILE FEE - DELMAR MORTGAGE ONLY',null,null,null),</v>
      </c>
    </row>
    <row r="89" spans="1:4" x14ac:dyDescent="0.35">
      <c r="A89" t="s">
        <v>106</v>
      </c>
      <c r="B89" s="3" t="s">
        <v>371</v>
      </c>
      <c r="C89" s="10" t="s">
        <v>106</v>
      </c>
      <c r="D89" s="10" t="str">
        <f t="shared" si="2"/>
        <v>('COPIED FILE FEE - EVERGREEN HOME LOANS PR165',null,null,null),</v>
      </c>
    </row>
    <row r="90" spans="1:4" x14ac:dyDescent="0.35">
      <c r="A90" t="s">
        <v>245</v>
      </c>
      <c r="B90" s="3" t="s">
        <v>371</v>
      </c>
      <c r="C90" s="10" t="s">
        <v>245</v>
      </c>
      <c r="D90" s="10" t="str">
        <f t="shared" si="2"/>
        <v>('COPIED FILE FEE - FA114 ALTITUDE FINANCIAL ONLY',null,null,null),</v>
      </c>
    </row>
    <row r="91" spans="1:4" x14ac:dyDescent="0.35">
      <c r="A91" t="s">
        <v>127</v>
      </c>
      <c r="B91" s="3" t="s">
        <v>371</v>
      </c>
      <c r="C91" s="10" t="s">
        <v>127</v>
      </c>
      <c r="D91" s="10" t="str">
        <f t="shared" si="2"/>
        <v>('COPIED FILE FEE - FBC MORTGAGE AND ALL SUBS',null,null,null),</v>
      </c>
    </row>
    <row r="92" spans="1:4" x14ac:dyDescent="0.35">
      <c r="A92" t="s">
        <v>46</v>
      </c>
      <c r="B92" s="3" t="s">
        <v>371</v>
      </c>
      <c r="C92" s="10" t="s">
        <v>46</v>
      </c>
      <c r="D92" s="10" t="str">
        <f t="shared" si="2"/>
        <v>('COPIED FILE FEE - FBC MORTGAGE AND ALL SUBS ONLY',null,null,null),</v>
      </c>
    </row>
    <row r="93" spans="1:4" x14ac:dyDescent="0.35">
      <c r="B93" s="3" t="s">
        <v>371</v>
      </c>
      <c r="C93" s="10" t="s">
        <v>1035</v>
      </c>
      <c r="D93" s="10" t="str">
        <f t="shared" si="2"/>
        <v>('COPIED FILE FEE - FUSION HOME LOANS',null,null,null),</v>
      </c>
    </row>
    <row r="94" spans="1:4" x14ac:dyDescent="0.35">
      <c r="A94" t="s">
        <v>349</v>
      </c>
      <c r="B94" s="3" t="s">
        <v>371</v>
      </c>
      <c r="C94" s="10" t="s">
        <v>349</v>
      </c>
      <c r="D94" s="10" t="str">
        <f t="shared" si="2"/>
        <v>('COPIED FILE FEE - HIGHLANDS RESIDENTIAL TX584',null,null,null),</v>
      </c>
    </row>
    <row r="95" spans="1:4" x14ac:dyDescent="0.35">
      <c r="B95" s="3" t="s">
        <v>371</v>
      </c>
      <c r="C95" s="10" t="s">
        <v>1036</v>
      </c>
      <c r="D95" s="10" t="str">
        <f t="shared" si="2"/>
        <v>('COPIED FILE FEE - HOMEOWNERS FINANCIAL GROUP',null,null,null),</v>
      </c>
    </row>
    <row r="96" spans="1:4" x14ac:dyDescent="0.35">
      <c r="A96" t="s">
        <v>322</v>
      </c>
      <c r="B96" s="3" t="s">
        <v>371</v>
      </c>
      <c r="C96" s="10" t="s">
        <v>322</v>
      </c>
      <c r="D96" s="10" t="str">
        <f t="shared" si="2"/>
        <v>('COPIED FILE FEE - HOMEOWNERS MORTGAGE 71180',null,null,null),</v>
      </c>
    </row>
    <row r="97" spans="1:4" x14ac:dyDescent="0.35">
      <c r="B97" s="3" t="s">
        <v>371</v>
      </c>
      <c r="C97" s="10" t="s">
        <v>1037</v>
      </c>
      <c r="D97" s="10" t="str">
        <f t="shared" si="2"/>
        <v>('COPIED FILE FEE - HOMEOWNERS MORTGAGE, LLC',null,null,null),</v>
      </c>
    </row>
    <row r="98" spans="1:4" x14ac:dyDescent="0.35">
      <c r="A98" t="s">
        <v>221</v>
      </c>
      <c r="B98" s="3" t="s">
        <v>371</v>
      </c>
      <c r="C98" s="10" t="s">
        <v>221</v>
      </c>
      <c r="D98" s="10" t="str">
        <f t="shared" si="2"/>
        <v>('COPIED FILE FEE - JET HOMELOANS LLC 71166',null,null,null),</v>
      </c>
    </row>
    <row r="99" spans="1:4" x14ac:dyDescent="0.35">
      <c r="B99" s="3" t="s">
        <v>371</v>
      </c>
      <c r="C99" s="10" t="s">
        <v>1038</v>
      </c>
      <c r="D99" s="10" t="str">
        <f t="shared" si="2"/>
        <v>('COPIED FILE FEE - JET HOMELOANS, LP 71166',null,null,null),</v>
      </c>
    </row>
    <row r="100" spans="1:4" x14ac:dyDescent="0.35">
      <c r="B100" s="3" t="s">
        <v>371</v>
      </c>
      <c r="C100" s="10" t="s">
        <v>1039</v>
      </c>
      <c r="D100" s="10" t="str">
        <f t="shared" si="2"/>
        <v>('COPIED FILE FEE - JET HOMELOANS, LP 71209',null,null,null),</v>
      </c>
    </row>
    <row r="101" spans="1:4" x14ac:dyDescent="0.35">
      <c r="A101" t="s">
        <v>218</v>
      </c>
      <c r="B101" s="3" t="s">
        <v>371</v>
      </c>
      <c r="C101" s="10" t="s">
        <v>218</v>
      </c>
      <c r="D101" s="10" t="str">
        <f t="shared" si="2"/>
        <v>('COPIED FILE FEE - JW111 CENTIER BANK ONLY',null,null,null),</v>
      </c>
    </row>
    <row r="102" spans="1:4" x14ac:dyDescent="0.35">
      <c r="A102" t="s">
        <v>47</v>
      </c>
      <c r="B102" s="3" t="s">
        <v>371</v>
      </c>
      <c r="C102" s="10" t="s">
        <v>47</v>
      </c>
      <c r="D102" s="10" t="str">
        <f t="shared" si="2"/>
        <v>('COPIED FILE FEE - LIBERTY HOME LOANS 71200',null,null,null),</v>
      </c>
    </row>
    <row r="103" spans="1:4" x14ac:dyDescent="0.35">
      <c r="B103" s="3" t="s">
        <v>371</v>
      </c>
      <c r="C103" s="10" t="s">
        <v>1040</v>
      </c>
      <c r="D103" s="10" t="str">
        <f t="shared" si="2"/>
        <v>('COPIED FILE FEE - LIBERTY HOME LOANS, LLC 71200',null,null,null),</v>
      </c>
    </row>
    <row r="104" spans="1:4" x14ac:dyDescent="0.35">
      <c r="A104" t="s">
        <v>158</v>
      </c>
      <c r="B104" s="3" t="s">
        <v>371</v>
      </c>
      <c r="C104" s="10" t="s">
        <v>158</v>
      </c>
      <c r="D104" s="10" t="str">
        <f t="shared" si="2"/>
        <v>('COPIED FILE FEE - METRO ISLAND MORTGAGE MP110',null,null,null),</v>
      </c>
    </row>
    <row r="105" spans="1:4" x14ac:dyDescent="0.35">
      <c r="A105" t="s">
        <v>264</v>
      </c>
      <c r="B105" s="3" t="s">
        <v>371</v>
      </c>
      <c r="C105" s="10" t="s">
        <v>264</v>
      </c>
      <c r="D105" s="10" t="str">
        <f t="shared" si="2"/>
        <v>('COPIED FILE FEE - MHC MORTGAGE LLC 71187',null,null,null),</v>
      </c>
    </row>
    <row r="106" spans="1:4" x14ac:dyDescent="0.35">
      <c r="B106" s="3" t="s">
        <v>371</v>
      </c>
      <c r="C106" s="10" t="s">
        <v>1041</v>
      </c>
      <c r="D106" s="10" t="str">
        <f t="shared" si="2"/>
        <v>('COPIED FILE FEE - MHC MORTGAGE, LLC 71187',null,null,null),</v>
      </c>
    </row>
    <row r="107" spans="1:4" x14ac:dyDescent="0.35">
      <c r="A107" t="s">
        <v>112</v>
      </c>
      <c r="B107" s="3" t="s">
        <v>371</v>
      </c>
      <c r="C107" s="10" t="s">
        <v>112</v>
      </c>
      <c r="D107" s="10" t="str">
        <f t="shared" si="2"/>
        <v>('COPIED FILE FEE - MORTGAGE LENDERS INVSTMNT 71164',null,null,null),</v>
      </c>
    </row>
    <row r="108" spans="1:4" x14ac:dyDescent="0.35">
      <c r="A108" t="s">
        <v>23</v>
      </c>
      <c r="B108" s="3" t="s">
        <v>371</v>
      </c>
      <c r="C108" s="10" t="s">
        <v>23</v>
      </c>
      <c r="D108" s="10" t="str">
        <f t="shared" si="2"/>
        <v>('COPIED FILE FEE - MP110 METRO ISLAND MORTGAGE ONLY',null,null,null),</v>
      </c>
    </row>
    <row r="109" spans="1:4" x14ac:dyDescent="0.35">
      <c r="B109" s="3" t="s">
        <v>371</v>
      </c>
      <c r="C109" s="10" t="s">
        <v>1042</v>
      </c>
      <c r="D109" s="10" t="str">
        <f t="shared" si="2"/>
        <v>('COPIED FILE FEE - MY LOAN UNDERWRITERS C22404',null,null,null),</v>
      </c>
    </row>
    <row r="110" spans="1:4" x14ac:dyDescent="0.35">
      <c r="B110" s="3" t="s">
        <v>371</v>
      </c>
      <c r="C110" s="10" t="s">
        <v>1043</v>
      </c>
      <c r="D110" s="10" t="str">
        <f t="shared" si="2"/>
        <v>('COPIED FILE FEE - NOVA HOME LOANS',null,null,null),</v>
      </c>
    </row>
    <row r="111" spans="1:4" x14ac:dyDescent="0.35">
      <c r="A111" t="s">
        <v>355</v>
      </c>
      <c r="B111" s="3" t="s">
        <v>371</v>
      </c>
      <c r="C111" s="10" t="s">
        <v>355</v>
      </c>
      <c r="D111" s="10" t="str">
        <f t="shared" si="2"/>
        <v>('COPIED FILE FEE - OPTION FUNDING C22529 ONLY',null,null,null),</v>
      </c>
    </row>
    <row r="112" spans="1:4" x14ac:dyDescent="0.35">
      <c r="A112" t="s">
        <v>59</v>
      </c>
      <c r="B112" s="3" t="s">
        <v>371</v>
      </c>
      <c r="C112" s="10" t="s">
        <v>59</v>
      </c>
      <c r="D112" s="10" t="str">
        <f t="shared" si="2"/>
        <v>('COPIED FILE FEE - OPTION FUNDING C72529 ONLY',null,null,null),</v>
      </c>
    </row>
    <row r="113" spans="1:4" x14ac:dyDescent="0.35">
      <c r="B113" s="3" t="s">
        <v>371</v>
      </c>
      <c r="C113" s="10" t="s">
        <v>1044</v>
      </c>
      <c r="D113" s="10" t="str">
        <f t="shared" si="2"/>
        <v>('COPIED FILE FEE - PARK SQUARE HOME MORTGAGE, LLC',null,null,null),</v>
      </c>
    </row>
    <row r="114" spans="1:4" x14ac:dyDescent="0.35">
      <c r="A114" t="s">
        <v>323</v>
      </c>
      <c r="B114" s="3" t="s">
        <v>371</v>
      </c>
      <c r="C114" s="10" t="s">
        <v>323</v>
      </c>
      <c r="D114" s="10" t="str">
        <f t="shared" si="2"/>
        <v>('COPIED FILE FEE - PARK SQUARE HOME MTG 71137',null,null,null),</v>
      </c>
    </row>
    <row r="115" spans="1:4" x14ac:dyDescent="0.35">
      <c r="A115" t="s">
        <v>174</v>
      </c>
      <c r="B115" s="3" t="s">
        <v>371</v>
      </c>
      <c r="C115" s="10" t="s">
        <v>174</v>
      </c>
      <c r="D115" s="10" t="str">
        <f t="shared" si="2"/>
        <v>('COPIED FILE FEE - PR156 WATERMARK CAPITAL ONLY',null,null,null),</v>
      </c>
    </row>
    <row r="116" spans="1:4" x14ac:dyDescent="0.35">
      <c r="A116" t="s">
        <v>199</v>
      </c>
      <c r="B116" s="3" t="s">
        <v>371</v>
      </c>
      <c r="C116" s="10" t="s">
        <v>199</v>
      </c>
      <c r="D116" s="10" t="str">
        <f t="shared" si="2"/>
        <v>('COPIED FILE FEE - PR165 EVERGREEN HOME LOANS ONLY',null,null,null),</v>
      </c>
    </row>
    <row r="117" spans="1:4" x14ac:dyDescent="0.35">
      <c r="A117" t="s">
        <v>300</v>
      </c>
      <c r="B117" s="3" t="s">
        <v>371</v>
      </c>
      <c r="C117" s="10" t="s">
        <v>300</v>
      </c>
      <c r="D117" s="10" t="str">
        <f t="shared" si="2"/>
        <v>('COPIED FILE FEE - RESIDENTIAL MTG NETWORK YS101',null,null,null),</v>
      </c>
    </row>
    <row r="118" spans="1:4" x14ac:dyDescent="0.35">
      <c r="A118" t="s">
        <v>342</v>
      </c>
      <c r="B118" s="3" t="s">
        <v>371</v>
      </c>
      <c r="C118" s="10" t="s">
        <v>342</v>
      </c>
      <c r="D118" s="10" t="str">
        <f t="shared" si="2"/>
        <v>('COPIED FILE FEE - RMC HOME MORTGAGE 71169',null,null,null),</v>
      </c>
    </row>
    <row r="119" spans="1:4" x14ac:dyDescent="0.35">
      <c r="B119" s="3" t="s">
        <v>371</v>
      </c>
      <c r="C119" s="10" t="s">
        <v>1045</v>
      </c>
      <c r="D119" s="10" t="str">
        <f t="shared" si="2"/>
        <v>('COPIED FILE FEE - RMC HOME MORTGAGE, LLC',null,null,null),</v>
      </c>
    </row>
    <row r="120" spans="1:4" x14ac:dyDescent="0.35">
      <c r="B120" s="3" t="s">
        <v>371</v>
      </c>
      <c r="C120" s="10" t="s">
        <v>1046</v>
      </c>
      <c r="D120" s="10" t="str">
        <f t="shared" si="2"/>
        <v>('COPIED FILE FEE - SECURITY NATIONAL',null,null,null),</v>
      </c>
    </row>
    <row r="121" spans="1:4" x14ac:dyDescent="0.35">
      <c r="A121" t="s">
        <v>130</v>
      </c>
      <c r="B121" s="3" t="s">
        <v>371</v>
      </c>
      <c r="C121" s="10" t="s">
        <v>130</v>
      </c>
      <c r="D121" s="10" t="str">
        <f t="shared" si="2"/>
        <v>('COPIED FILE FEE - SUN WEST MORTGAGE 9011',null,null,null),</v>
      </c>
    </row>
    <row r="122" spans="1:4" x14ac:dyDescent="0.35">
      <c r="A122" t="s">
        <v>299</v>
      </c>
      <c r="B122" s="3" t="s">
        <v>371</v>
      </c>
      <c r="C122" s="10" t="s">
        <v>299</v>
      </c>
      <c r="D122" s="10" t="str">
        <f t="shared" si="2"/>
        <v>('COPIED FILE FEE - THE MONEY HOUSE MP111',null,null,null),</v>
      </c>
    </row>
    <row r="123" spans="1:4" x14ac:dyDescent="0.35">
      <c r="A123" t="s">
        <v>48</v>
      </c>
      <c r="B123" s="3" t="s">
        <v>371</v>
      </c>
      <c r="C123" s="10" t="s">
        <v>48</v>
      </c>
      <c r="D123" s="10" t="str">
        <f t="shared" si="2"/>
        <v>('COPIED FILE FEE - TRAILBLAZER MORTGAGE 71168',null,null,null),</v>
      </c>
    </row>
    <row r="124" spans="1:4" x14ac:dyDescent="0.35">
      <c r="B124" s="3" t="s">
        <v>371</v>
      </c>
      <c r="C124" s="10" t="s">
        <v>1047</v>
      </c>
      <c r="D124" s="10" t="str">
        <f t="shared" si="2"/>
        <v>('COPIED FILE FEE - TRAILBLAZER MORTGAGE LLC',null,null,null),</v>
      </c>
    </row>
    <row r="125" spans="1:4" x14ac:dyDescent="0.35">
      <c r="A125" t="s">
        <v>216</v>
      </c>
      <c r="B125" s="3" t="s">
        <v>371</v>
      </c>
      <c r="C125" s="10" t="s">
        <v>216</v>
      </c>
      <c r="D125" s="10" t="str">
        <f t="shared" si="2"/>
        <v>('COPIED FILE FEE - TX584 HIGHLANDS RESIDENTIAL ONLY',null,null,null),</v>
      </c>
    </row>
    <row r="126" spans="1:4" x14ac:dyDescent="0.35">
      <c r="A126" t="s">
        <v>95</v>
      </c>
      <c r="B126" s="3" t="s">
        <v>371</v>
      </c>
      <c r="C126" s="10" t="s">
        <v>95</v>
      </c>
      <c r="D126" s="10" t="str">
        <f t="shared" si="2"/>
        <v>('COPIED FILE FEE - WATERMARK CAPITAL PR156',null,null,null),</v>
      </c>
    </row>
    <row r="127" spans="1:4" x14ac:dyDescent="0.35">
      <c r="A127" t="s">
        <v>208</v>
      </c>
      <c r="B127" s="3" t="s">
        <v>371</v>
      </c>
      <c r="C127" s="10" t="s">
        <v>208</v>
      </c>
      <c r="D127" s="10" t="str">
        <f t="shared" si="2"/>
        <v>('COPIED FILE FEE - YS101 RESIDENTIAL MTG NETWORK',null,null,null),</v>
      </c>
    </row>
    <row r="128" spans="1:4" x14ac:dyDescent="0.35">
      <c r="B128" s="3" t="s">
        <v>371</v>
      </c>
      <c r="C128" s="10" t="s">
        <v>1048</v>
      </c>
      <c r="D128" s="10" t="str">
        <f t="shared" si="2"/>
        <v>('COPIED FILE FEE-SERVICE FIRST MORTGAGE &amp; ALL SUBS',null,null,null),</v>
      </c>
    </row>
    <row r="129" spans="1:4" x14ac:dyDescent="0.35">
      <c r="B129" s="3" t="s">
        <v>371</v>
      </c>
      <c r="C129" s="10" t="s">
        <v>1049</v>
      </c>
      <c r="D129" s="10" t="str">
        <f t="shared" si="2"/>
        <v>('COPY FILE FEE - SECURITY NATIONAL',null,null,null),</v>
      </c>
    </row>
    <row r="130" spans="1:4" x14ac:dyDescent="0.35">
      <c r="A130" t="s">
        <v>271</v>
      </c>
      <c r="B130" s="3" t="s">
        <v>371</v>
      </c>
      <c r="C130" s="10" t="s">
        <v>271</v>
      </c>
      <c r="D130" s="10" t="str">
        <f t="shared" si="2"/>
        <v>('CREDIT',null,null,null),</v>
      </c>
    </row>
    <row r="131" spans="1:4" x14ac:dyDescent="0.35">
      <c r="A131" t="s">
        <v>157</v>
      </c>
      <c r="B131" s="3" t="s">
        <v>371</v>
      </c>
      <c r="C131" s="10" t="s">
        <v>157</v>
      </c>
      <c r="D131" s="10" t="str">
        <f t="shared" si="2"/>
        <v>('CREDIT ATTRIBUTES',null,null,null),</v>
      </c>
    </row>
    <row r="132" spans="1:4" x14ac:dyDescent="0.35">
      <c r="A132" t="s">
        <v>339</v>
      </c>
      <c r="B132" s="3" t="s">
        <v>371</v>
      </c>
      <c r="C132" s="11" t="s">
        <v>339</v>
      </c>
      <c r="D132" s="10" t="str">
        <f t="shared" ref="D132:D195" si="3">_xlfn.TEXTJOIN("",FALSE,"('",TRIM(C132),"',null,null,null),")</f>
        <v>('CREDIT MONITORING',null,null,null),</v>
      </c>
    </row>
    <row r="133" spans="1:4" x14ac:dyDescent="0.35">
      <c r="A133" t="s">
        <v>295</v>
      </c>
      <c r="B133" s="3" t="s">
        <v>371</v>
      </c>
      <c r="C133" s="10" t="s">
        <v>295</v>
      </c>
      <c r="D133" s="10" t="str">
        <f t="shared" si="3"/>
        <v>('CREDIT SOLUTIONS BUNDLE',null,null,null),</v>
      </c>
    </row>
    <row r="134" spans="1:4" x14ac:dyDescent="0.35">
      <c r="A134" t="s">
        <v>45</v>
      </c>
      <c r="B134" s="3" t="s">
        <v>371</v>
      </c>
      <c r="C134" s="11" t="s">
        <v>45</v>
      </c>
      <c r="D134" s="10" t="str">
        <f t="shared" si="3"/>
        <v>('CREDITANALYZER-B',null,null,null),</v>
      </c>
    </row>
    <row r="135" spans="1:4" x14ac:dyDescent="0.35">
      <c r="A135" t="s">
        <v>109</v>
      </c>
      <c r="B135" s="3" t="s">
        <v>371</v>
      </c>
      <c r="C135" s="11" t="s">
        <v>109</v>
      </c>
      <c r="D135" s="10" t="str">
        <f t="shared" si="3"/>
        <v>('CREDITANALYZER-C',null,null,null),</v>
      </c>
    </row>
    <row r="136" spans="1:4" x14ac:dyDescent="0.35">
      <c r="A136" t="s">
        <v>117</v>
      </c>
      <c r="B136" s="3" t="s">
        <v>371</v>
      </c>
      <c r="C136" s="10" t="s">
        <v>1092</v>
      </c>
      <c r="D136" s="10" t="str">
        <f t="shared" si="3"/>
        <v>('DELETE BORROWER',null,null,null),</v>
      </c>
    </row>
    <row r="137" spans="1:4" x14ac:dyDescent="0.35">
      <c r="A137" t="s">
        <v>14</v>
      </c>
      <c r="B137" s="3" t="s">
        <v>371</v>
      </c>
      <c r="C137" s="10" t="s">
        <v>1093</v>
      </c>
      <c r="D137" s="10" t="str">
        <f t="shared" si="3"/>
        <v>('DELETE DUPLICATES',null,null,null),</v>
      </c>
    </row>
    <row r="138" spans="1:4" x14ac:dyDescent="0.35">
      <c r="A138" t="s">
        <v>36</v>
      </c>
      <c r="B138" s="3" t="s">
        <v>371</v>
      </c>
      <c r="C138" s="11" t="s">
        <v>36</v>
      </c>
      <c r="D138" s="10" t="str">
        <f t="shared" si="3"/>
        <v>('DELETED BORROWER',null,null,null),</v>
      </c>
    </row>
    <row r="139" spans="1:4" x14ac:dyDescent="0.35">
      <c r="A139" t="s">
        <v>214</v>
      </c>
      <c r="B139" s="3" t="s">
        <v>371</v>
      </c>
      <c r="C139" s="11" t="s">
        <v>214</v>
      </c>
      <c r="D139" s="10" t="str">
        <f t="shared" si="3"/>
        <v>('DELETED DUPLICATES',null,null,null),</v>
      </c>
    </row>
    <row r="140" spans="1:4" x14ac:dyDescent="0.35">
      <c r="A140" t="s">
        <v>92</v>
      </c>
      <c r="B140" s="3" t="s">
        <v>371</v>
      </c>
      <c r="C140" s="11" t="s">
        <v>92</v>
      </c>
      <c r="D140" s="10" t="str">
        <f t="shared" si="3"/>
        <v>('DISCLOSURE/MAIL FEE',null,null,null),</v>
      </c>
    </row>
    <row r="141" spans="1:4" x14ac:dyDescent="0.35">
      <c r="A141" t="s">
        <v>182</v>
      </c>
      <c r="B141" s="3" t="s">
        <v>371</v>
      </c>
      <c r="C141" s="11" t="s">
        <v>182</v>
      </c>
      <c r="D141" s="10" t="str">
        <f t="shared" si="3"/>
        <v>('DISCLOSURE/MAIL FEE - PER CONSUMER',null,null,null),</v>
      </c>
    </row>
    <row r="142" spans="1:4" x14ac:dyDescent="0.35">
      <c r="A142" t="s">
        <v>178</v>
      </c>
      <c r="B142" s="3" t="s">
        <v>371</v>
      </c>
      <c r="C142" s="11" t="s">
        <v>178</v>
      </c>
      <c r="D142" s="10" t="str">
        <f t="shared" si="3"/>
        <v>('DISCLOSURE/MAIL FEE-JNT',null,null,null),</v>
      </c>
    </row>
    <row r="143" spans="1:4" x14ac:dyDescent="0.35">
      <c r="A143" t="s">
        <v>122</v>
      </c>
      <c r="B143" s="3" t="s">
        <v>371</v>
      </c>
      <c r="C143" s="10" t="s">
        <v>122</v>
      </c>
      <c r="D143" s="10" t="str">
        <f t="shared" si="3"/>
        <v>('DTEC',null,null,null),</v>
      </c>
    </row>
    <row r="144" spans="1:4" x14ac:dyDescent="0.35">
      <c r="A144" t="s">
        <v>294</v>
      </c>
      <c r="B144" s="3" t="s">
        <v>371</v>
      </c>
      <c r="C144" s="10" t="s">
        <v>294</v>
      </c>
      <c r="D144" s="10" t="str">
        <f t="shared" si="3"/>
        <v>('EMPLOYER_IDV',null,null,null),</v>
      </c>
    </row>
    <row r="145" spans="1:4" x14ac:dyDescent="0.35">
      <c r="A145" t="s">
        <v>58</v>
      </c>
      <c r="B145" s="3" t="s">
        <v>371</v>
      </c>
      <c r="C145" s="11" t="s">
        <v>58</v>
      </c>
      <c r="D145" s="10" t="str">
        <f t="shared" si="3"/>
        <v>('EMPLOYERS12MONTHS',null,null,null),</v>
      </c>
    </row>
    <row r="146" spans="1:4" x14ac:dyDescent="0.35">
      <c r="A146" t="s">
        <v>81</v>
      </c>
      <c r="B146" s="3" t="s">
        <v>371</v>
      </c>
      <c r="C146" s="11" t="s">
        <v>81</v>
      </c>
      <c r="D146" s="10" t="str">
        <f t="shared" si="3"/>
        <v>('EMPLOYERS24MONTHS',null,null,null),</v>
      </c>
    </row>
    <row r="147" spans="1:4" x14ac:dyDescent="0.35">
      <c r="A147" t="s">
        <v>142</v>
      </c>
      <c r="B147" s="3" t="s">
        <v>371</v>
      </c>
      <c r="C147" s="10" t="s">
        <v>142</v>
      </c>
      <c r="D147" s="10" t="str">
        <f t="shared" si="3"/>
        <v>('EMPLOYHIST',null,null,null),</v>
      </c>
    </row>
    <row r="148" spans="1:4" x14ac:dyDescent="0.35">
      <c r="A148" t="s">
        <v>193</v>
      </c>
      <c r="B148" s="3" t="s">
        <v>371</v>
      </c>
      <c r="C148" s="10" t="s">
        <v>193</v>
      </c>
      <c r="D148" s="10" t="str">
        <f t="shared" si="3"/>
        <v>('EMPLOYMENT VERIFICATION',null,null,null),</v>
      </c>
    </row>
    <row r="149" spans="1:4" x14ac:dyDescent="0.35">
      <c r="B149" s="3" t="s">
        <v>371</v>
      </c>
      <c r="C149" s="10" t="s">
        <v>1001</v>
      </c>
      <c r="D149" s="10" t="str">
        <f t="shared" si="3"/>
        <v>('ENCOMPASS UDN FEE',null,null,null),</v>
      </c>
    </row>
    <row r="150" spans="1:4" x14ac:dyDescent="0.35">
      <c r="A150" t="s">
        <v>149</v>
      </c>
      <c r="B150" s="3" t="s">
        <v>371</v>
      </c>
      <c r="C150" s="11" t="s">
        <v>149</v>
      </c>
      <c r="D150" s="10" t="str">
        <f t="shared" si="3"/>
        <v>('EMPLOYVERIFY',null,null,null),</v>
      </c>
    </row>
    <row r="151" spans="1:4" x14ac:dyDescent="0.35">
      <c r="A151" t="s">
        <v>50</v>
      </c>
      <c r="B151" s="3" t="s">
        <v>371</v>
      </c>
      <c r="C151" s="10" t="s">
        <v>50</v>
      </c>
      <c r="D151" s="10" t="str">
        <f t="shared" si="3"/>
        <v>('EPASS-ORDER',null,null,null),</v>
      </c>
    </row>
    <row r="152" spans="1:4" x14ac:dyDescent="0.35">
      <c r="A152" t="s">
        <v>329</v>
      </c>
      <c r="B152" s="3" t="s">
        <v>371</v>
      </c>
      <c r="C152" s="10" t="s">
        <v>329</v>
      </c>
      <c r="D152" s="10" t="str">
        <f t="shared" si="3"/>
        <v>('EPASS-RETRIEVE',null,null,null),</v>
      </c>
    </row>
    <row r="153" spans="1:4" x14ac:dyDescent="0.35">
      <c r="A153" t="s">
        <v>141</v>
      </c>
      <c r="B153" s="3" t="s">
        <v>371</v>
      </c>
      <c r="C153" s="10" t="s">
        <v>141</v>
      </c>
      <c r="D153" s="10" t="str">
        <f t="shared" si="3"/>
        <v>('EQF',null,null,null),</v>
      </c>
    </row>
    <row r="154" spans="1:4" x14ac:dyDescent="0.35">
      <c r="A154" t="s">
        <v>220</v>
      </c>
      <c r="B154" s="3" t="s">
        <v>371</v>
      </c>
      <c r="C154" s="10" t="s">
        <v>220</v>
      </c>
      <c r="D154" s="10" t="str">
        <f t="shared" si="3"/>
        <v>('EQF-SOFT',null,null,null),</v>
      </c>
    </row>
    <row r="155" spans="1:4" x14ac:dyDescent="0.35">
      <c r="A155" t="s">
        <v>143</v>
      </c>
      <c r="B155" s="3" t="s">
        <v>371</v>
      </c>
      <c r="C155" s="10" t="s">
        <v>143</v>
      </c>
      <c r="D155" s="10" t="str">
        <f t="shared" si="3"/>
        <v>('EQF/JNT',null,null,null),</v>
      </c>
    </row>
    <row r="156" spans="1:4" x14ac:dyDescent="0.35">
      <c r="A156" t="s">
        <v>315</v>
      </c>
      <c r="B156" s="3" t="s">
        <v>371</v>
      </c>
      <c r="C156" s="10" t="s">
        <v>315</v>
      </c>
      <c r="D156" s="10" t="str">
        <f t="shared" si="3"/>
        <v>('EQF/JNT-SOFT',null,null,null),</v>
      </c>
    </row>
    <row r="157" spans="1:4" x14ac:dyDescent="0.35">
      <c r="A157" t="s">
        <v>269</v>
      </c>
      <c r="B157" s="3" t="s">
        <v>371</v>
      </c>
      <c r="C157" s="10" t="s">
        <v>269</v>
      </c>
      <c r="D157" s="10" t="str">
        <f t="shared" si="3"/>
        <v>('EQF/TUC',null,null,null),</v>
      </c>
    </row>
    <row r="158" spans="1:4" x14ac:dyDescent="0.35">
      <c r="A158" t="s">
        <v>61</v>
      </c>
      <c r="B158" s="3" t="s">
        <v>371</v>
      </c>
      <c r="C158" s="10" t="s">
        <v>61</v>
      </c>
      <c r="D158" s="10" t="str">
        <f t="shared" si="3"/>
        <v>('EQF/TUC-SOFT',null,null,null),</v>
      </c>
    </row>
    <row r="159" spans="1:4" x14ac:dyDescent="0.35">
      <c r="A159" t="s">
        <v>332</v>
      </c>
      <c r="B159" s="3" t="s">
        <v>371</v>
      </c>
      <c r="C159" s="10" t="s">
        <v>332</v>
      </c>
      <c r="D159" s="10" t="str">
        <f t="shared" si="3"/>
        <v>('EQF/TUC/JNT',null,null,null),</v>
      </c>
    </row>
    <row r="160" spans="1:4" x14ac:dyDescent="0.35">
      <c r="A160" t="s">
        <v>262</v>
      </c>
      <c r="B160" s="3" t="s">
        <v>371</v>
      </c>
      <c r="C160" s="10" t="s">
        <v>262</v>
      </c>
      <c r="D160" s="10" t="str">
        <f t="shared" si="3"/>
        <v>('EQF/TUC/JNT-SOFT',null,null,null),</v>
      </c>
    </row>
    <row r="161" spans="1:4" x14ac:dyDescent="0.35">
      <c r="A161" t="s">
        <v>37</v>
      </c>
      <c r="B161" s="3" t="s">
        <v>371</v>
      </c>
      <c r="C161" s="10" t="s">
        <v>37</v>
      </c>
      <c r="D161" s="10" t="str">
        <f t="shared" si="3"/>
        <v>('ESIGNATURE',null,null,null),</v>
      </c>
    </row>
    <row r="162" spans="1:4" x14ac:dyDescent="0.35">
      <c r="A162" t="s">
        <v>22</v>
      </c>
      <c r="B162" s="3" t="s">
        <v>371</v>
      </c>
      <c r="C162" s="10" t="s">
        <v>22</v>
      </c>
      <c r="D162" s="10" t="str">
        <f t="shared" si="3"/>
        <v>('ESSA89',null,null,null),</v>
      </c>
    </row>
    <row r="163" spans="1:4" x14ac:dyDescent="0.35">
      <c r="A163" t="s">
        <v>212</v>
      </c>
      <c r="B163" s="3" t="s">
        <v>371</v>
      </c>
      <c r="C163" s="10" t="s">
        <v>212</v>
      </c>
      <c r="D163" s="10" t="str">
        <f t="shared" si="3"/>
        <v>('EXP',null,null,null),</v>
      </c>
    </row>
    <row r="164" spans="1:4" x14ac:dyDescent="0.35">
      <c r="A164" t="s">
        <v>176</v>
      </c>
      <c r="B164" s="3" t="s">
        <v>371</v>
      </c>
      <c r="C164" s="10" t="s">
        <v>176</v>
      </c>
      <c r="D164" s="10" t="str">
        <f t="shared" si="3"/>
        <v>('EXP-SOFT',null,null,null),</v>
      </c>
    </row>
    <row r="165" spans="1:4" x14ac:dyDescent="0.35">
      <c r="A165" t="s">
        <v>309</v>
      </c>
      <c r="B165" s="3" t="s">
        <v>371</v>
      </c>
      <c r="C165" s="10" t="s">
        <v>309</v>
      </c>
      <c r="D165" s="10" t="str">
        <f t="shared" si="3"/>
        <v>('EXP/EQF',null,null,null),</v>
      </c>
    </row>
    <row r="166" spans="1:4" x14ac:dyDescent="0.35">
      <c r="A166" t="s">
        <v>21</v>
      </c>
      <c r="B166" s="3" t="s">
        <v>371</v>
      </c>
      <c r="C166" s="10" t="s">
        <v>21</v>
      </c>
      <c r="D166" s="10" t="str">
        <f t="shared" si="3"/>
        <v>('EXP/EQF-SOFT',null,null,null),</v>
      </c>
    </row>
    <row r="167" spans="1:4" x14ac:dyDescent="0.35">
      <c r="A167" t="s">
        <v>334</v>
      </c>
      <c r="B167" s="3" t="s">
        <v>371</v>
      </c>
      <c r="C167" s="10" t="s">
        <v>334</v>
      </c>
      <c r="D167" s="10" t="str">
        <f t="shared" si="3"/>
        <v>('EXP/EQF/JNT',null,null,null),</v>
      </c>
    </row>
    <row r="168" spans="1:4" x14ac:dyDescent="0.35">
      <c r="A168" t="s">
        <v>319</v>
      </c>
      <c r="B168" s="3" t="s">
        <v>371</v>
      </c>
      <c r="C168" s="10" t="s">
        <v>319</v>
      </c>
      <c r="D168" s="10" t="str">
        <f t="shared" si="3"/>
        <v>('EXP/EQF/JNT-SOFT',null,null,null),</v>
      </c>
    </row>
    <row r="169" spans="1:4" x14ac:dyDescent="0.35">
      <c r="A169" t="s">
        <v>209</v>
      </c>
      <c r="B169" s="3" t="s">
        <v>371</v>
      </c>
      <c r="C169" s="10" t="s">
        <v>209</v>
      </c>
      <c r="D169" s="10" t="str">
        <f t="shared" si="3"/>
        <v>('EXP/EQF/TUC',null,null,null),</v>
      </c>
    </row>
    <row r="170" spans="1:4" x14ac:dyDescent="0.35">
      <c r="A170" t="s">
        <v>40</v>
      </c>
      <c r="B170" s="3" t="s">
        <v>371</v>
      </c>
      <c r="C170" s="10" t="s">
        <v>40</v>
      </c>
      <c r="D170" s="10" t="str">
        <f t="shared" si="3"/>
        <v>('EXP/EQF/TUC-SOFT',null,null,null),</v>
      </c>
    </row>
    <row r="171" spans="1:4" x14ac:dyDescent="0.35">
      <c r="A171" t="s">
        <v>118</v>
      </c>
      <c r="B171" s="3" t="s">
        <v>371</v>
      </c>
      <c r="C171" s="10" t="s">
        <v>118</v>
      </c>
      <c r="D171" s="10" t="str">
        <f t="shared" si="3"/>
        <v>('EXP/EQF/TUC/JNT',null,null,null),</v>
      </c>
    </row>
    <row r="172" spans="1:4" x14ac:dyDescent="0.35">
      <c r="A172" t="s">
        <v>82</v>
      </c>
      <c r="B172" s="3" t="s">
        <v>371</v>
      </c>
      <c r="C172" s="10" t="s">
        <v>82</v>
      </c>
      <c r="D172" s="10" t="str">
        <f t="shared" si="3"/>
        <v>('EXP/EQF/TUC/JNT-SOFT',null,null,null),</v>
      </c>
    </row>
    <row r="173" spans="1:4" x14ac:dyDescent="0.35">
      <c r="A173" t="s">
        <v>249</v>
      </c>
      <c r="B173" s="3" t="s">
        <v>371</v>
      </c>
      <c r="C173" s="10" t="s">
        <v>249</v>
      </c>
      <c r="D173" s="10" t="str">
        <f t="shared" si="3"/>
        <v>('EXP/JNT',null,null,null),</v>
      </c>
    </row>
    <row r="174" spans="1:4" x14ac:dyDescent="0.35">
      <c r="A174" t="s">
        <v>44</v>
      </c>
      <c r="B174" s="3" t="s">
        <v>371</v>
      </c>
      <c r="C174" s="10" t="s">
        <v>44</v>
      </c>
      <c r="D174" s="10" t="str">
        <f t="shared" si="3"/>
        <v>('EXP/JNT-SOFT',null,null,null),</v>
      </c>
    </row>
    <row r="175" spans="1:4" x14ac:dyDescent="0.35">
      <c r="A175" t="s">
        <v>283</v>
      </c>
      <c r="B175" s="3" t="s">
        <v>371</v>
      </c>
      <c r="C175" s="10" t="s">
        <v>283</v>
      </c>
      <c r="D175" s="10" t="str">
        <f t="shared" si="3"/>
        <v>('EXP/TUC',null,null,null),</v>
      </c>
    </row>
    <row r="176" spans="1:4" x14ac:dyDescent="0.35">
      <c r="A176" t="s">
        <v>151</v>
      </c>
      <c r="B176" s="3" t="s">
        <v>371</v>
      </c>
      <c r="C176" s="10" t="s">
        <v>151</v>
      </c>
      <c r="D176" s="10" t="str">
        <f t="shared" si="3"/>
        <v>('EXP/TUC-SOFT',null,null,null),</v>
      </c>
    </row>
    <row r="177" spans="1:4" x14ac:dyDescent="0.35">
      <c r="A177" t="s">
        <v>145</v>
      </c>
      <c r="B177" s="3" t="s">
        <v>371</v>
      </c>
      <c r="C177" s="10" t="s">
        <v>145</v>
      </c>
      <c r="D177" s="10" t="str">
        <f t="shared" si="3"/>
        <v>('EXP/TUC/JNT',null,null,null),</v>
      </c>
    </row>
    <row r="178" spans="1:4" x14ac:dyDescent="0.35">
      <c r="A178" t="s">
        <v>25</v>
      </c>
      <c r="B178" s="3" t="s">
        <v>371</v>
      </c>
      <c r="C178" s="10" t="s">
        <v>25</v>
      </c>
      <c r="D178" s="10" t="str">
        <f t="shared" si="3"/>
        <v>('EXP/TUC/JNT-SOFT',null,null,null),</v>
      </c>
    </row>
    <row r="179" spans="1:4" x14ac:dyDescent="0.35">
      <c r="A179" t="s">
        <v>347</v>
      </c>
      <c r="B179" s="3" t="s">
        <v>371</v>
      </c>
      <c r="C179" s="11" t="s">
        <v>347</v>
      </c>
      <c r="D179" s="10" t="str">
        <f t="shared" si="3"/>
        <v>('Express Alert Program',null,null,null),</v>
      </c>
    </row>
    <row r="180" spans="1:4" x14ac:dyDescent="0.35">
      <c r="B180" s="3" t="s">
        <v>371</v>
      </c>
      <c r="C180" s="10" t="s">
        <v>1002</v>
      </c>
      <c r="D180" s="10" t="str">
        <f t="shared" si="3"/>
        <v>('EXPVERIFYCORE',null,null,null),</v>
      </c>
    </row>
    <row r="181" spans="1:4" x14ac:dyDescent="0.35">
      <c r="A181" t="s">
        <v>84</v>
      </c>
      <c r="B181" s="3" t="s">
        <v>371</v>
      </c>
      <c r="C181" s="10" t="s">
        <v>84</v>
      </c>
      <c r="D181" s="10" t="str">
        <f t="shared" si="3"/>
        <v>('EXPVERIFYPREMIUM',null,null,null),</v>
      </c>
    </row>
    <row r="182" spans="1:4" x14ac:dyDescent="0.35">
      <c r="A182" t="s">
        <v>177</v>
      </c>
      <c r="B182" s="3" t="s">
        <v>371</v>
      </c>
      <c r="C182" s="10" t="s">
        <v>177</v>
      </c>
      <c r="D182" s="10" t="str">
        <f t="shared" si="3"/>
        <v>('EXPVERIFYREVERIFYVOE',null,null,null),</v>
      </c>
    </row>
    <row r="183" spans="1:4" x14ac:dyDescent="0.35">
      <c r="A183" t="s">
        <v>175</v>
      </c>
      <c r="B183" s="3" t="s">
        <v>371</v>
      </c>
      <c r="C183" s="10" t="s">
        <v>175</v>
      </c>
      <c r="D183" s="10" t="str">
        <f t="shared" si="3"/>
        <v>('EXPVERIFYREVERIFYVOIE',null,null,null),</v>
      </c>
    </row>
    <row r="184" spans="1:4" x14ac:dyDescent="0.35">
      <c r="A184" t="s">
        <v>253</v>
      </c>
      <c r="B184" s="3" t="s">
        <v>371</v>
      </c>
      <c r="C184" s="11" t="s">
        <v>253</v>
      </c>
      <c r="D184" s="10" t="str">
        <f t="shared" si="3"/>
        <v>('FACTCheck',null,null,null),</v>
      </c>
    </row>
    <row r="185" spans="1:4" x14ac:dyDescent="0.35">
      <c r="A185" t="s">
        <v>72</v>
      </c>
      <c r="B185" s="3" t="s">
        <v>371</v>
      </c>
      <c r="C185" s="10" t="s">
        <v>72</v>
      </c>
      <c r="D185" s="10" t="str">
        <f t="shared" si="3"/>
        <v>('FAMM-B',null,null,null),</v>
      </c>
    </row>
    <row r="186" spans="1:4" x14ac:dyDescent="0.35">
      <c r="A186" t="s">
        <v>308</v>
      </c>
      <c r="B186" s="3" t="s">
        <v>371</v>
      </c>
      <c r="C186" s="10" t="s">
        <v>308</v>
      </c>
      <c r="D186" s="10" t="str">
        <f t="shared" si="3"/>
        <v>('FAMM-C',null,null,null),</v>
      </c>
    </row>
    <row r="187" spans="1:4" x14ac:dyDescent="0.35">
      <c r="A187" t="s">
        <v>120</v>
      </c>
      <c r="B187" s="3" t="s">
        <v>371</v>
      </c>
      <c r="C187" s="10" t="s">
        <v>120</v>
      </c>
      <c r="D187" s="10" t="str">
        <f t="shared" si="3"/>
        <v>('FAMM-J',null,null,null),</v>
      </c>
    </row>
    <row r="188" spans="1:4" x14ac:dyDescent="0.35">
      <c r="B188" s="3" t="s">
        <v>371</v>
      </c>
      <c r="C188" s="10" t="s">
        <v>1050</v>
      </c>
      <c r="D188" s="10" t="str">
        <f t="shared" si="3"/>
        <v>('Fee Adjustment',null,null,null),</v>
      </c>
    </row>
    <row r="189" spans="1:4" x14ac:dyDescent="0.35">
      <c r="A189" t="s">
        <v>190</v>
      </c>
      <c r="B189" s="3" t="s">
        <v>371</v>
      </c>
      <c r="C189" s="10" t="s">
        <v>190</v>
      </c>
      <c r="D189" s="10" t="str">
        <f t="shared" si="3"/>
        <v>('FHLMC DIRECT LPA REISSUE',null,null,null),</v>
      </c>
    </row>
    <row r="190" spans="1:4" x14ac:dyDescent="0.35">
      <c r="A190" t="s">
        <v>287</v>
      </c>
      <c r="B190" s="3" t="s">
        <v>371</v>
      </c>
      <c r="C190" s="10" t="s">
        <v>287</v>
      </c>
      <c r="D190" s="10" t="str">
        <f t="shared" si="3"/>
        <v>('FHLMC DIRECT LQA REISSUE',null,null,null),</v>
      </c>
    </row>
    <row r="191" spans="1:4" x14ac:dyDescent="0.35">
      <c r="B191" s="3" t="s">
        <v>371</v>
      </c>
      <c r="C191" s="10" t="s">
        <v>1004</v>
      </c>
      <c r="D191" s="10" t="str">
        <f t="shared" si="3"/>
        <v>('FICOSCOREMORTGAGESIMULATOR',null,null,null),</v>
      </c>
    </row>
    <row r="192" spans="1:4" x14ac:dyDescent="0.35">
      <c r="A192" t="s">
        <v>217</v>
      </c>
      <c r="B192" s="3" t="s">
        <v>371</v>
      </c>
      <c r="C192" s="10" t="s">
        <v>217</v>
      </c>
      <c r="D192" s="10" t="str">
        <f t="shared" si="3"/>
        <v>('FINALVOE',null,null,null),</v>
      </c>
    </row>
    <row r="193" spans="1:4" x14ac:dyDescent="0.35">
      <c r="A193" t="s">
        <v>41</v>
      </c>
      <c r="B193" s="3" t="s">
        <v>371</v>
      </c>
      <c r="C193" s="11" t="s">
        <v>41</v>
      </c>
      <c r="D193" s="10" t="str">
        <f t="shared" si="3"/>
        <v>('FINICITY60',null,null,null),</v>
      </c>
    </row>
    <row r="194" spans="1:4" x14ac:dyDescent="0.35">
      <c r="A194" t="s">
        <v>289</v>
      </c>
      <c r="B194" s="3" t="s">
        <v>371</v>
      </c>
      <c r="C194" s="10" t="s">
        <v>289</v>
      </c>
      <c r="D194" s="10" t="str">
        <f t="shared" si="3"/>
        <v>('FLEXID',null,null,null),</v>
      </c>
    </row>
    <row r="195" spans="1:4" x14ac:dyDescent="0.35">
      <c r="A195" t="s">
        <v>11</v>
      </c>
      <c r="B195" s="3" t="s">
        <v>371</v>
      </c>
      <c r="C195" s="10" t="s">
        <v>11</v>
      </c>
      <c r="D195" s="10" t="str">
        <f t="shared" si="3"/>
        <v>('FLOOD',null,null,null),</v>
      </c>
    </row>
    <row r="196" spans="1:4" x14ac:dyDescent="0.35">
      <c r="A196" t="s">
        <v>170</v>
      </c>
      <c r="B196" s="3" t="s">
        <v>371</v>
      </c>
      <c r="C196" s="11" t="s">
        <v>170</v>
      </c>
      <c r="D196" s="10" t="str">
        <f t="shared" ref="D196:D259" si="4">_xlfn.TEXTJOIN("",FALSE,"('",TRIM(C196),"',null,null,null),")</f>
        <v>('FLOOD REPORT',null,null,null),</v>
      </c>
    </row>
    <row r="197" spans="1:4" x14ac:dyDescent="0.35">
      <c r="A197" t="s">
        <v>15</v>
      </c>
      <c r="B197" s="3" t="s">
        <v>371</v>
      </c>
      <c r="C197" s="10" t="s">
        <v>15</v>
      </c>
      <c r="D197" s="10" t="str">
        <f t="shared" si="4"/>
        <v>('FLOOD-HMDA',null,null,null),</v>
      </c>
    </row>
    <row r="198" spans="1:4" x14ac:dyDescent="0.35">
      <c r="A198" t="s">
        <v>211</v>
      </c>
      <c r="B198" s="3" t="s">
        <v>371</v>
      </c>
      <c r="C198" s="10" t="s">
        <v>211</v>
      </c>
      <c r="D198" s="10" t="str">
        <f t="shared" si="4"/>
        <v>('FLOOD-HMDA-LIFE',null,null,null),</v>
      </c>
    </row>
    <row r="199" spans="1:4" x14ac:dyDescent="0.35">
      <c r="A199" t="s">
        <v>6</v>
      </c>
      <c r="B199" s="3" t="s">
        <v>371</v>
      </c>
      <c r="C199" s="10" t="s">
        <v>6</v>
      </c>
      <c r="D199" s="10" t="str">
        <f t="shared" si="4"/>
        <v>('FLOOD-LIFE',null,null,null),</v>
      </c>
    </row>
    <row r="200" spans="1:4" x14ac:dyDescent="0.35">
      <c r="A200" t="s">
        <v>303</v>
      </c>
      <c r="B200" s="3" t="s">
        <v>371</v>
      </c>
      <c r="C200" s="11" t="s">
        <v>303</v>
      </c>
      <c r="D200" s="10" t="str">
        <f t="shared" si="4"/>
        <v>('FLOOD-HMDA-RUSH',null,null,null),</v>
      </c>
    </row>
    <row r="201" spans="1:4" x14ac:dyDescent="0.35">
      <c r="A201" t="s">
        <v>17</v>
      </c>
      <c r="B201" s="3" t="s">
        <v>371</v>
      </c>
      <c r="C201" s="11" t="s">
        <v>17</v>
      </c>
      <c r="D201" s="10" t="str">
        <f t="shared" si="4"/>
        <v>('FLOOD-HMDA-RUSH-LIFE',null,null,null),</v>
      </c>
    </row>
    <row r="202" spans="1:4" x14ac:dyDescent="0.35">
      <c r="A202" t="s">
        <v>260</v>
      </c>
      <c r="B202" s="3" t="s">
        <v>371</v>
      </c>
      <c r="C202" s="10" t="s">
        <v>260</v>
      </c>
      <c r="D202" s="10" t="str">
        <f t="shared" si="4"/>
        <v>('FLOOD-RUSH-LIFE',null,null,null),</v>
      </c>
    </row>
    <row r="203" spans="1:4" x14ac:dyDescent="0.35">
      <c r="A203" t="s">
        <v>148</v>
      </c>
      <c r="B203" s="3" t="s">
        <v>371</v>
      </c>
      <c r="C203" s="10" t="s">
        <v>148</v>
      </c>
      <c r="D203" s="10" t="str">
        <f t="shared" si="4"/>
        <v>('FLOODRECERT',null,null,null),</v>
      </c>
    </row>
    <row r="204" spans="1:4" x14ac:dyDescent="0.35">
      <c r="A204" t="s">
        <v>286</v>
      </c>
      <c r="B204" s="3" t="s">
        <v>371</v>
      </c>
      <c r="C204" s="10" t="s">
        <v>286</v>
      </c>
      <c r="D204" s="10" t="str">
        <f t="shared" si="4"/>
        <v>('FLOODXFER',null,null,null),</v>
      </c>
    </row>
    <row r="205" spans="1:4" x14ac:dyDescent="0.35">
      <c r="A205" t="s">
        <v>196</v>
      </c>
      <c r="B205" s="3" t="s">
        <v>371</v>
      </c>
      <c r="C205" s="11" t="s">
        <v>196</v>
      </c>
      <c r="D205" s="10" t="str">
        <f t="shared" si="4"/>
        <v>('FLOODLOL',null,null,null),</v>
      </c>
    </row>
    <row r="206" spans="1:4" x14ac:dyDescent="0.35">
      <c r="A206" t="s">
        <v>68</v>
      </c>
      <c r="B206" s="3" t="s">
        <v>371</v>
      </c>
      <c r="C206" s="11" t="s">
        <v>68</v>
      </c>
      <c r="D206" s="10" t="str">
        <f t="shared" si="4"/>
        <v>('FLOOD-RUSH',null,null,null),</v>
      </c>
    </row>
    <row r="207" spans="1:4" x14ac:dyDescent="0.35">
      <c r="A207" t="s">
        <v>285</v>
      </c>
      <c r="B207" s="3" t="s">
        <v>371</v>
      </c>
      <c r="C207" s="10" t="s">
        <v>285</v>
      </c>
      <c r="D207" s="10" t="str">
        <f t="shared" si="4"/>
        <v>('FMAC REISSUE',null,null,null),</v>
      </c>
    </row>
    <row r="208" spans="1:4" x14ac:dyDescent="0.35">
      <c r="B208" s="3" t="s">
        <v>371</v>
      </c>
      <c r="C208" s="10" t="s">
        <v>1051</v>
      </c>
      <c r="D208" s="10" t="str">
        <f t="shared" si="4"/>
        <v>('FMAC LP AUS REISSUE',null,null,null),</v>
      </c>
    </row>
    <row r="209" spans="1:4" x14ac:dyDescent="0.35">
      <c r="A209" t="s">
        <v>38</v>
      </c>
      <c r="B209" s="3" t="s">
        <v>371</v>
      </c>
      <c r="C209" s="10" t="s">
        <v>38</v>
      </c>
      <c r="D209" s="10" t="str">
        <f t="shared" si="4"/>
        <v>('FMACI',null,null,null),</v>
      </c>
    </row>
    <row r="210" spans="1:4" x14ac:dyDescent="0.35">
      <c r="A210" t="s">
        <v>78</v>
      </c>
      <c r="B210" s="3" t="s">
        <v>371</v>
      </c>
      <c r="C210" s="11" t="s">
        <v>78</v>
      </c>
      <c r="D210" s="10" t="str">
        <f t="shared" si="4"/>
        <v>('FMACJ',null,null,null),</v>
      </c>
    </row>
    <row r="211" spans="1:4" x14ac:dyDescent="0.35">
      <c r="B211" s="3" t="s">
        <v>371</v>
      </c>
      <c r="C211" s="10" t="s">
        <v>1052</v>
      </c>
      <c r="D211" s="10" t="str">
        <f t="shared" si="4"/>
        <v>('FNMA AUS CREDIT REISSUE',null,null,null),</v>
      </c>
    </row>
    <row r="212" spans="1:4" x14ac:dyDescent="0.35">
      <c r="B212" s="3" t="s">
        <v>371</v>
      </c>
      <c r="C212" s="10" t="s">
        <v>1053</v>
      </c>
      <c r="D212" s="10" t="str">
        <f t="shared" si="4"/>
        <v>('FNMA AUS ORDER CREDIT',null,null,null),</v>
      </c>
    </row>
    <row r="213" spans="1:4" x14ac:dyDescent="0.35">
      <c r="A213" t="s">
        <v>101</v>
      </c>
      <c r="B213" s="3" t="s">
        <v>371</v>
      </c>
      <c r="C213" s="10" t="s">
        <v>101</v>
      </c>
      <c r="D213" s="10" t="str">
        <f t="shared" si="4"/>
        <v>('FOREIGN REPORT',null,null,null),</v>
      </c>
    </row>
    <row r="214" spans="1:4" x14ac:dyDescent="0.35">
      <c r="A214" t="s">
        <v>207</v>
      </c>
      <c r="B214" s="3" t="s">
        <v>371</v>
      </c>
      <c r="C214" s="11" t="s">
        <v>207</v>
      </c>
      <c r="D214" s="10" t="str">
        <f t="shared" si="4"/>
        <v>('IBV REPORT',null,null,null),</v>
      </c>
    </row>
    <row r="215" spans="1:4" x14ac:dyDescent="0.35">
      <c r="A215" t="s">
        <v>282</v>
      </c>
      <c r="B215" s="3" t="s">
        <v>371</v>
      </c>
      <c r="C215" s="10" t="s">
        <v>282</v>
      </c>
      <c r="D215" s="10" t="str">
        <f t="shared" si="4"/>
        <v>('INCOMEHIST',null,null,null),</v>
      </c>
    </row>
    <row r="216" spans="1:4" x14ac:dyDescent="0.35">
      <c r="A216" t="s">
        <v>77</v>
      </c>
      <c r="B216" s="3" t="s">
        <v>371</v>
      </c>
      <c r="C216" t="s">
        <v>77</v>
      </c>
      <c r="D216" s="10" t="str">
        <f t="shared" si="4"/>
        <v>('INCOMEVERIFY',null,null,null),</v>
      </c>
    </row>
    <row r="217" spans="1:4" x14ac:dyDescent="0.35">
      <c r="A217" t="s">
        <v>168</v>
      </c>
      <c r="B217" s="3" t="s">
        <v>371</v>
      </c>
      <c r="C217" s="10" t="s">
        <v>168</v>
      </c>
      <c r="D217" s="10" t="str">
        <f t="shared" si="4"/>
        <v>('INSPECTION FEE',null,null,null),</v>
      </c>
    </row>
    <row r="218" spans="1:4" x14ac:dyDescent="0.35">
      <c r="A218" t="s">
        <v>291</v>
      </c>
      <c r="B218" s="3" t="s">
        <v>371</v>
      </c>
      <c r="C218" s="10" t="s">
        <v>291</v>
      </c>
      <c r="D218" s="10" t="str">
        <f t="shared" si="4"/>
        <v>('INSTANTID',null,null,null),</v>
      </c>
    </row>
    <row r="219" spans="1:4" x14ac:dyDescent="0.35">
      <c r="A219" t="s">
        <v>201</v>
      </c>
      <c r="B219" s="3" t="s">
        <v>371</v>
      </c>
      <c r="C219" s="11" t="s">
        <v>201</v>
      </c>
      <c r="D219" s="10" t="str">
        <f t="shared" si="4"/>
        <v>('INTEGRA DESTINY-ORDER',null,null,null),</v>
      </c>
    </row>
    <row r="220" spans="1:4" x14ac:dyDescent="0.35">
      <c r="A220" t="s">
        <v>312</v>
      </c>
      <c r="B220" s="3" t="s">
        <v>371</v>
      </c>
      <c r="C220" s="10" t="s">
        <v>312</v>
      </c>
      <c r="D220" s="10" t="str">
        <f t="shared" si="4"/>
        <v>('INTEGRA DESTINY-RETRIEVE',null,null,null),</v>
      </c>
    </row>
    <row r="221" spans="1:4" x14ac:dyDescent="0.35">
      <c r="A221" t="s">
        <v>195</v>
      </c>
      <c r="B221" s="3" t="s">
        <v>371</v>
      </c>
      <c r="C221" s="11" t="s">
        <v>195</v>
      </c>
      <c r="D221" s="10" t="str">
        <f t="shared" si="4"/>
        <v>('INTERFACE FEE',null,null,null),</v>
      </c>
    </row>
    <row r="222" spans="1:4" x14ac:dyDescent="0.35">
      <c r="A222" t="s">
        <v>230</v>
      </c>
      <c r="B222" s="3" t="s">
        <v>371</v>
      </c>
      <c r="C222" s="10" t="s">
        <v>230</v>
      </c>
      <c r="D222" s="10" t="str">
        <f t="shared" si="4"/>
        <v>('INTERFACE FEE (SMARTPAY)',null,null,null),</v>
      </c>
    </row>
    <row r="223" spans="1:4" x14ac:dyDescent="0.35">
      <c r="A223" t="s">
        <v>333</v>
      </c>
      <c r="B223" s="3" t="s">
        <v>371</v>
      </c>
      <c r="C223" s="10" t="s">
        <v>333</v>
      </c>
      <c r="D223" s="10" t="str">
        <f t="shared" si="4"/>
        <v>('INTERFACE-ORDER',null,null,null),</v>
      </c>
    </row>
    <row r="224" spans="1:4" x14ac:dyDescent="0.35">
      <c r="A224" t="s">
        <v>100</v>
      </c>
      <c r="B224" s="3" t="s">
        <v>371</v>
      </c>
      <c r="C224" s="10" t="s">
        <v>100</v>
      </c>
      <c r="D224" s="10" t="str">
        <f t="shared" si="4"/>
        <v>('INTERFACE-RETRIEVE',null,null,null),</v>
      </c>
    </row>
    <row r="225" spans="1:4" x14ac:dyDescent="0.35">
      <c r="A225" t="s">
        <v>345</v>
      </c>
      <c r="B225" s="3" t="s">
        <v>371</v>
      </c>
      <c r="C225" s="11" t="s">
        <v>345</v>
      </c>
      <c r="D225" s="10" t="str">
        <f t="shared" si="4"/>
        <v>('iSCREEN ORDER',null,null,null),</v>
      </c>
    </row>
    <row r="226" spans="1:4" x14ac:dyDescent="0.35">
      <c r="A226" t="s">
        <v>254</v>
      </c>
      <c r="B226" s="3" t="s">
        <v>371</v>
      </c>
      <c r="C226" s="10" t="s">
        <v>254</v>
      </c>
      <c r="D226" s="10" t="str">
        <f t="shared" si="4"/>
        <v>('LaserCredit-ORDER',null,null,null),</v>
      </c>
    </row>
    <row r="227" spans="1:4" x14ac:dyDescent="0.35">
      <c r="A227" t="s">
        <v>64</v>
      </c>
      <c r="B227" s="3" t="s">
        <v>371</v>
      </c>
      <c r="C227" t="s">
        <v>64</v>
      </c>
      <c r="D227" s="10" t="str">
        <f t="shared" si="4"/>
        <v>('LaserCredit-RETRIEVE',null,null,null),</v>
      </c>
    </row>
    <row r="228" spans="1:4" x14ac:dyDescent="0.35">
      <c r="A228" t="s">
        <v>115</v>
      </c>
      <c r="B228" s="3" t="s">
        <v>371</v>
      </c>
      <c r="C228" s="10" t="s">
        <v>115</v>
      </c>
      <c r="D228" s="10" t="str">
        <f t="shared" si="4"/>
        <v>('LenderHomepage-ORDER',null,null,null),</v>
      </c>
    </row>
    <row r="229" spans="1:4" x14ac:dyDescent="0.35">
      <c r="A229" t="s">
        <v>156</v>
      </c>
      <c r="B229" s="3" t="s">
        <v>371</v>
      </c>
      <c r="C229" t="s">
        <v>1090</v>
      </c>
      <c r="D229" s="10" t="str">
        <f t="shared" si="4"/>
        <v>('LENDER''S OFFICE-ORDER',null,null,null),</v>
      </c>
    </row>
    <row r="230" spans="1:4" x14ac:dyDescent="0.35">
      <c r="B230" s="3" t="s">
        <v>371</v>
      </c>
      <c r="C230" s="10" t="s">
        <v>1054</v>
      </c>
      <c r="D230" s="10" t="str">
        <f t="shared" si="4"/>
        <v>('LENDINGPAD-ORDER',null,null,null),</v>
      </c>
    </row>
    <row r="231" spans="1:4" x14ac:dyDescent="0.35">
      <c r="B231" s="3" t="s">
        <v>371</v>
      </c>
      <c r="C231" s="10" t="s">
        <v>1055</v>
      </c>
      <c r="D231" s="10" t="str">
        <f t="shared" si="4"/>
        <v>('LENDINGPAD-RETRIEVE',null,null,null),</v>
      </c>
    </row>
    <row r="232" spans="1:4" x14ac:dyDescent="0.35">
      <c r="A232" t="s">
        <v>325</v>
      </c>
      <c r="B232" s="3" t="s">
        <v>371</v>
      </c>
      <c r="C232" s="11" t="s">
        <v>325</v>
      </c>
      <c r="D232" s="10" t="str">
        <f t="shared" si="4"/>
        <v>('LEVELONE',null,null,null),</v>
      </c>
    </row>
    <row r="233" spans="1:4" x14ac:dyDescent="0.35">
      <c r="A233" t="s">
        <v>35</v>
      </c>
      <c r="B233" s="3" t="s">
        <v>371</v>
      </c>
      <c r="C233" s="10" t="s">
        <v>35</v>
      </c>
      <c r="D233" s="10" t="str">
        <f t="shared" si="4"/>
        <v>('LIENS AND JUDGMENTS REPORT',null,null,null),</v>
      </c>
    </row>
    <row r="234" spans="1:4" x14ac:dyDescent="0.35">
      <c r="A234" t="s">
        <v>53</v>
      </c>
      <c r="B234" s="3" t="s">
        <v>371</v>
      </c>
      <c r="C234" s="10" t="s">
        <v>53</v>
      </c>
      <c r="D234" s="10" t="str">
        <f t="shared" si="4"/>
        <v>('Liens and Judgments/B1P0',null,null,null),</v>
      </c>
    </row>
    <row r="235" spans="1:4" x14ac:dyDescent="0.35">
      <c r="A235" t="s">
        <v>272</v>
      </c>
      <c r="B235" s="3" t="s">
        <v>371</v>
      </c>
      <c r="C235" s="10" t="s">
        <v>272</v>
      </c>
      <c r="D235" s="10" t="str">
        <f t="shared" si="4"/>
        <v>('Liens and Judgments/B2P0',null,null,null),</v>
      </c>
    </row>
    <row r="236" spans="1:4" x14ac:dyDescent="0.35">
      <c r="A236" t="s">
        <v>302</v>
      </c>
      <c r="B236" s="3" t="s">
        <v>371</v>
      </c>
      <c r="C236" s="11" t="s">
        <v>302</v>
      </c>
      <c r="D236" s="10" t="str">
        <f t="shared" si="4"/>
        <v>('Liens and Judgments/B4P0',null,null,null),</v>
      </c>
    </row>
    <row r="237" spans="1:4" x14ac:dyDescent="0.35">
      <c r="A237" t="s">
        <v>305</v>
      </c>
      <c r="B237" s="3" t="s">
        <v>371</v>
      </c>
      <c r="C237" s="10" t="s">
        <v>305</v>
      </c>
      <c r="D237" s="10" t="str">
        <f t="shared" si="4"/>
        <v>('LP AUS REISSUE',null,null,null),</v>
      </c>
    </row>
    <row r="238" spans="1:4" x14ac:dyDescent="0.35">
      <c r="A238" t="s">
        <v>90</v>
      </c>
      <c r="B238" s="3" t="s">
        <v>371</v>
      </c>
      <c r="C238" s="10" t="s">
        <v>90</v>
      </c>
      <c r="D238" s="10" t="str">
        <f t="shared" si="4"/>
        <v>('MANUALSELFEMPLOYED',null,null,null),</v>
      </c>
    </row>
    <row r="239" spans="1:4" x14ac:dyDescent="0.35">
      <c r="A239" t="s">
        <v>8</v>
      </c>
      <c r="B239" s="3" t="s">
        <v>371</v>
      </c>
      <c r="C239" s="10" t="s">
        <v>8</v>
      </c>
      <c r="D239" s="10" t="str">
        <f t="shared" si="4"/>
        <v>('MANUALVOE',null,null,null),</v>
      </c>
    </row>
    <row r="240" spans="1:4" x14ac:dyDescent="0.35">
      <c r="A240" t="s">
        <v>284</v>
      </c>
      <c r="B240" s="3" t="s">
        <v>371</v>
      </c>
      <c r="C240" s="10" t="s">
        <v>284</v>
      </c>
      <c r="D240" s="10" t="str">
        <f t="shared" si="4"/>
        <v>('MANUALVOI',null,null,null),</v>
      </c>
    </row>
    <row r="241" spans="1:4" x14ac:dyDescent="0.35">
      <c r="B241" s="3" t="s">
        <v>371</v>
      </c>
      <c r="C241" s="10" t="s">
        <v>1056</v>
      </c>
      <c r="D241" s="10" t="str">
        <f t="shared" si="4"/>
        <v>('MERGED FILE FEE - EVERGREEN HOME LOANS PR165',null,null,null),</v>
      </c>
    </row>
    <row r="242" spans="1:4" x14ac:dyDescent="0.35">
      <c r="B242" s="3" t="s">
        <v>371</v>
      </c>
      <c r="C242" s="10" t="s">
        <v>1057</v>
      </c>
      <c r="D242" s="10" t="str">
        <f t="shared" si="4"/>
        <v>('MERGED FILE FEE - SECURITY NATIONAL',null,null,null),</v>
      </c>
    </row>
    <row r="243" spans="1:4" x14ac:dyDescent="0.35">
      <c r="A243" t="s">
        <v>242</v>
      </c>
      <c r="B243" s="3" t="s">
        <v>371</v>
      </c>
      <c r="C243" s="11" t="s">
        <v>242</v>
      </c>
      <c r="D243" s="10" t="str">
        <f t="shared" si="4"/>
        <v>('MERGE REPORT FEE',null,null,null),</v>
      </c>
    </row>
    <row r="244" spans="1:4" x14ac:dyDescent="0.35">
      <c r="A244" t="s">
        <v>331</v>
      </c>
      <c r="B244" s="3" t="s">
        <v>371</v>
      </c>
      <c r="C244" s="10" t="s">
        <v>331</v>
      </c>
      <c r="D244" s="10" t="str">
        <f t="shared" si="4"/>
        <v>('MERGED REPORT',null,null,null),</v>
      </c>
    </row>
    <row r="245" spans="1:4" x14ac:dyDescent="0.35">
      <c r="A245" t="s">
        <v>293</v>
      </c>
      <c r="B245" s="3" t="s">
        <v>371</v>
      </c>
      <c r="C245" s="11" t="s">
        <v>293</v>
      </c>
      <c r="D245" s="10" t="str">
        <f t="shared" si="4"/>
        <v>('MERGED REPORT FEE - 71109 CERTIFIED MTG PLANNERS',null,null,null),</v>
      </c>
    </row>
    <row r="246" spans="1:4" x14ac:dyDescent="0.35">
      <c r="A246" t="s">
        <v>161</v>
      </c>
      <c r="B246" s="3" t="s">
        <v>371</v>
      </c>
      <c r="C246" s="10" t="s">
        <v>161</v>
      </c>
      <c r="D246" s="10" t="str">
        <f t="shared" si="4"/>
        <v>('MERGED REPORT FEE - 71137 PARK SQUARE HM MTG ONLY',null,null,null),</v>
      </c>
    </row>
    <row r="247" spans="1:4" x14ac:dyDescent="0.35">
      <c r="A247" t="s">
        <v>67</v>
      </c>
      <c r="B247" s="3" t="s">
        <v>371</v>
      </c>
      <c r="C247" s="11" t="s">
        <v>67</v>
      </c>
      <c r="D247" s="10" t="str">
        <f t="shared" si="4"/>
        <v>('MERGED REPORT FEE - 71153 CHRISTENSEN FINANCIAL',null,null,null),</v>
      </c>
    </row>
    <row r="248" spans="1:4" x14ac:dyDescent="0.35">
      <c r="A248" t="s">
        <v>320</v>
      </c>
      <c r="B248" s="3" t="s">
        <v>371</v>
      </c>
      <c r="C248" s="10" t="s">
        <v>320</v>
      </c>
      <c r="D248" s="10" t="str">
        <f t="shared" si="4"/>
        <v>('MERGED REPORT FEE - 71166 JET HOMELOANS LLC ONLY',null,null,null),</v>
      </c>
    </row>
    <row r="249" spans="1:4" x14ac:dyDescent="0.35">
      <c r="A249" t="s">
        <v>297</v>
      </c>
      <c r="B249" s="3" t="s">
        <v>371</v>
      </c>
      <c r="C249" s="10" t="s">
        <v>297</v>
      </c>
      <c r="D249" s="10" t="str">
        <f t="shared" si="4"/>
        <v>('MERGED REPORT FEE - 71168 TRAILBLAZER MTG ONLY',null,null,null),</v>
      </c>
    </row>
    <row r="250" spans="1:4" x14ac:dyDescent="0.35">
      <c r="A250" t="s">
        <v>348</v>
      </c>
      <c r="B250" s="3" t="s">
        <v>371</v>
      </c>
      <c r="C250" s="10" t="s">
        <v>348</v>
      </c>
      <c r="D250" s="10" t="str">
        <f t="shared" si="4"/>
        <v>('MERGED REPORT FEE - 71169 RMC HOME MORTGAGE ONLY',null,null,null),</v>
      </c>
    </row>
    <row r="251" spans="1:4" x14ac:dyDescent="0.35">
      <c r="A251" t="s">
        <v>263</v>
      </c>
      <c r="B251" s="3" t="s">
        <v>371</v>
      </c>
      <c r="C251" s="10" t="s">
        <v>263</v>
      </c>
      <c r="D251" s="10" t="str">
        <f t="shared" si="4"/>
        <v>('MERGED REPORT FEE - 71174 COASTAL LOANS LLC ONLY',null,null,null),</v>
      </c>
    </row>
    <row r="252" spans="1:4" x14ac:dyDescent="0.35">
      <c r="A252" t="s">
        <v>324</v>
      </c>
      <c r="B252" s="3" t="s">
        <v>371</v>
      </c>
      <c r="C252" s="10" t="s">
        <v>324</v>
      </c>
      <c r="D252" s="10" t="str">
        <f t="shared" si="4"/>
        <v>('MERGED REPORT FEE - 71180 HOMEOWNERS MTG ONLY',null,null,null),</v>
      </c>
    </row>
    <row r="253" spans="1:4" x14ac:dyDescent="0.35">
      <c r="A253" t="s">
        <v>108</v>
      </c>
      <c r="B253" s="3" t="s">
        <v>371</v>
      </c>
      <c r="C253" s="10" t="s">
        <v>108</v>
      </c>
      <c r="D253" s="10" t="str">
        <f t="shared" si="4"/>
        <v>('MERGED REPORT FEE - 9011 SUN WEST MORTGAGE',null,null,null),</v>
      </c>
    </row>
    <row r="254" spans="1:4" x14ac:dyDescent="0.35">
      <c r="A254" t="s">
        <v>265</v>
      </c>
      <c r="B254" s="3" t="s">
        <v>371</v>
      </c>
      <c r="C254" s="10" t="s">
        <v>265</v>
      </c>
      <c r="D254" s="10" t="str">
        <f t="shared" si="4"/>
        <v>('MERGED REPORT FEE - COASTAL LOANS LLC 71174',null,null,null),</v>
      </c>
    </row>
    <row r="255" spans="1:4" x14ac:dyDescent="0.35">
      <c r="B255" s="3" t="s">
        <v>371</v>
      </c>
      <c r="C255" s="10" t="s">
        <v>1062</v>
      </c>
      <c r="D255" s="10" t="str">
        <f t="shared" si="4"/>
        <v>('MERGED REPORT FEE - COASTAL LOANS, LLC',null,null,null),</v>
      </c>
    </row>
    <row r="256" spans="1:4" x14ac:dyDescent="0.35">
      <c r="A256" t="s">
        <v>321</v>
      </c>
      <c r="B256" s="3" t="s">
        <v>371</v>
      </c>
      <c r="C256" s="10" t="s">
        <v>321</v>
      </c>
      <c r="D256" s="10" t="str">
        <f t="shared" si="4"/>
        <v>('MERGED REPORT FEE - FA114 ALTITUDE FINANCIAL CORP',null,null,null),</v>
      </c>
    </row>
    <row r="257" spans="1:4" x14ac:dyDescent="0.35">
      <c r="A257" t="s">
        <v>159</v>
      </c>
      <c r="B257" s="3" t="s">
        <v>371</v>
      </c>
      <c r="C257" s="10" t="s">
        <v>159</v>
      </c>
      <c r="D257" s="10" t="str">
        <f t="shared" si="4"/>
        <v>('MERGED REPORT FEE - FBC MORTGAGE AND ALL SUBS',null,null,null),</v>
      </c>
    </row>
    <row r="258" spans="1:4" x14ac:dyDescent="0.35">
      <c r="A258" t="s">
        <v>134</v>
      </c>
      <c r="B258" s="3" t="s">
        <v>371</v>
      </c>
      <c r="C258" s="10" t="s">
        <v>134</v>
      </c>
      <c r="D258" s="10" t="str">
        <f t="shared" si="4"/>
        <v>('MERGED REPORT FEE - FBC MORTGAGE AND ALL SUBS ONLY',null,null,null),</v>
      </c>
    </row>
    <row r="259" spans="1:4" x14ac:dyDescent="0.35">
      <c r="A259" t="s">
        <v>267</v>
      </c>
      <c r="B259" s="3" t="s">
        <v>371</v>
      </c>
      <c r="C259" s="10" t="s">
        <v>267</v>
      </c>
      <c r="D259" s="10" t="str">
        <f t="shared" si="4"/>
        <v>('MERGED REPORT FEE - HIGHLANDS RESIDENTIAL TX584',null,null,null),</v>
      </c>
    </row>
    <row r="260" spans="1:4" x14ac:dyDescent="0.35">
      <c r="A260" t="s">
        <v>162</v>
      </c>
      <c r="B260" s="3" t="s">
        <v>371</v>
      </c>
      <c r="C260" s="10" t="s">
        <v>1065</v>
      </c>
      <c r="D260" s="10" t="str">
        <f t="shared" ref="D260:D323" si="5">_xlfn.TEXTJOIN("",FALSE,"('",TRIM(C260),"',null,null,null),")</f>
        <v>('MERGED REPORT FEE - HOMEOWNERS FINANCIAL GROUP',null,null,null),</v>
      </c>
    </row>
    <row r="261" spans="1:4" x14ac:dyDescent="0.35">
      <c r="B261" s="3" t="s">
        <v>371</v>
      </c>
      <c r="C261" s="10" t="s">
        <v>1066</v>
      </c>
      <c r="D261" s="10" t="str">
        <f t="shared" si="5"/>
        <v>('MERGED REPORT FEE - HOMEOWNERS MORTGAGE 71180',null,null,null),</v>
      </c>
    </row>
    <row r="262" spans="1:4" x14ac:dyDescent="0.35">
      <c r="B262" s="3" t="s">
        <v>371</v>
      </c>
      <c r="C262" s="10" t="s">
        <v>1067</v>
      </c>
      <c r="D262" s="10" t="str">
        <f t="shared" si="5"/>
        <v>('MERGED REPORT FEE - HOMEOWNERS MORTGAGE, LLC',null,null,null),</v>
      </c>
    </row>
    <row r="263" spans="1:4" x14ac:dyDescent="0.35">
      <c r="A263" t="s">
        <v>292</v>
      </c>
      <c r="B263" s="3" t="s">
        <v>371</v>
      </c>
      <c r="C263" s="10" t="s">
        <v>292</v>
      </c>
      <c r="D263" s="10" t="str">
        <f t="shared" si="5"/>
        <v>('MERGED REPORT FEE - JET HOMELOANS LLC 71166',null,null,null),</v>
      </c>
    </row>
    <row r="264" spans="1:4" x14ac:dyDescent="0.35">
      <c r="B264" s="3" t="s">
        <v>371</v>
      </c>
      <c r="C264" s="10" t="s">
        <v>1068</v>
      </c>
      <c r="D264" s="10" t="str">
        <f t="shared" si="5"/>
        <v>('MERGED REPORT FEE - JET HOMELOANS, LP 71166',null,null,null),</v>
      </c>
    </row>
    <row r="265" spans="1:4" x14ac:dyDescent="0.35">
      <c r="B265" s="3" t="s">
        <v>371</v>
      </c>
      <c r="C265" s="10" t="s">
        <v>1069</v>
      </c>
      <c r="D265" s="10" t="str">
        <f t="shared" si="5"/>
        <v>('MERGED REPORT FEE - JET HOMELOANS, LP 71209',null,null,null),</v>
      </c>
    </row>
    <row r="266" spans="1:4" x14ac:dyDescent="0.35">
      <c r="A266" t="s">
        <v>301</v>
      </c>
      <c r="B266" s="3" t="s">
        <v>371</v>
      </c>
      <c r="C266" s="10" t="s">
        <v>301</v>
      </c>
      <c r="D266" s="10" t="str">
        <f t="shared" si="5"/>
        <v>('MERGED REPORT FEE - MHC MORTGAGE LLC 71187',null,null,null),</v>
      </c>
    </row>
    <row r="267" spans="1:4" x14ac:dyDescent="0.35">
      <c r="A267" t="s">
        <v>346</v>
      </c>
      <c r="B267" s="3" t="s">
        <v>371</v>
      </c>
      <c r="C267" s="10" t="s">
        <v>346</v>
      </c>
      <c r="D267" s="10" t="str">
        <f t="shared" si="5"/>
        <v>('MERGED REPORT FEE - MORTGAGE LENDERS INVSTMT 71164',null,null,null),</v>
      </c>
    </row>
    <row r="268" spans="1:4" x14ac:dyDescent="0.35">
      <c r="A268" t="s">
        <v>266</v>
      </c>
      <c r="B268" s="3" t="s">
        <v>371</v>
      </c>
      <c r="C268" s="10" t="s">
        <v>266</v>
      </c>
      <c r="D268" s="10" t="str">
        <f t="shared" si="5"/>
        <v>('MERGED REPORT FEE - PARK SQUARE HM MTG 71137',null,null,null),</v>
      </c>
    </row>
    <row r="269" spans="1:4" x14ac:dyDescent="0.35">
      <c r="B269" s="3" t="s">
        <v>371</v>
      </c>
      <c r="C269" s="10" t="s">
        <v>1072</v>
      </c>
      <c r="D269" s="10" t="str">
        <f t="shared" si="5"/>
        <v>('MERGED REPORT FEE - PARK SQUARE HOME MTG 71137',null,null,null),</v>
      </c>
    </row>
    <row r="270" spans="1:4" x14ac:dyDescent="0.35">
      <c r="A270" t="s">
        <v>317</v>
      </c>
      <c r="B270" s="3" t="s">
        <v>371</v>
      </c>
      <c r="C270" s="10" t="s">
        <v>317</v>
      </c>
      <c r="D270" s="10" t="str">
        <f t="shared" si="5"/>
        <v>('MERGED REPORT FEE - RMC HOME MORTGAGE 71169',null,null,null),</v>
      </c>
    </row>
    <row r="271" spans="1:4" x14ac:dyDescent="0.35">
      <c r="B271" s="3" t="s">
        <v>371</v>
      </c>
      <c r="C271" s="10" t="s">
        <v>1074</v>
      </c>
      <c r="D271" s="10" t="str">
        <f t="shared" si="5"/>
        <v>('MERGED REPORT FEE - RMC HOME MORTGAGE, LLC',null,null,null),</v>
      </c>
    </row>
    <row r="272" spans="1:4" x14ac:dyDescent="0.35">
      <c r="A272" t="s">
        <v>94</v>
      </c>
      <c r="B272" s="3" t="s">
        <v>371</v>
      </c>
      <c r="C272" s="10" t="s">
        <v>94</v>
      </c>
      <c r="D272" s="10" t="str">
        <f t="shared" si="5"/>
        <v>('MERGED REPORT FEE - SUN WEST MORTGAGE 9011',null,null,null),</v>
      </c>
    </row>
    <row r="273" spans="1:4" x14ac:dyDescent="0.35">
      <c r="A273" t="s">
        <v>10</v>
      </c>
      <c r="B273" s="3" t="s">
        <v>371</v>
      </c>
      <c r="C273" s="10" t="s">
        <v>10</v>
      </c>
      <c r="D273" s="10" t="str">
        <f t="shared" si="5"/>
        <v>('MERGED REPORT FEE - TX584 HIGHLANDS RESIDENTIAL',null,null,null),</v>
      </c>
    </row>
    <row r="274" spans="1:4" x14ac:dyDescent="0.35">
      <c r="B274" s="3" t="s">
        <v>371</v>
      </c>
      <c r="C274" s="10" t="s">
        <v>1058</v>
      </c>
      <c r="D274" s="10" t="str">
        <f t="shared" si="5"/>
        <v>('MERGED REPORT - CHOICE MORTGAGE 71184',null,null,null),</v>
      </c>
    </row>
    <row r="275" spans="1:4" x14ac:dyDescent="0.35">
      <c r="B275" s="3" t="s">
        <v>371</v>
      </c>
      <c r="C275" s="10" t="s">
        <v>1059</v>
      </c>
      <c r="D275" s="10" t="str">
        <f t="shared" si="5"/>
        <v>('MERGED REPORT - MOR LENDING',null,null,null),</v>
      </c>
    </row>
    <row r="276" spans="1:4" x14ac:dyDescent="0.35">
      <c r="B276" s="3" t="s">
        <v>371</v>
      </c>
      <c r="C276" s="10" t="s">
        <v>1060</v>
      </c>
      <c r="D276" s="10" t="str">
        <f t="shared" si="5"/>
        <v>('MERGED REPORT - NOVA HOME LOANS',null,null,null),</v>
      </c>
    </row>
    <row r="277" spans="1:4" x14ac:dyDescent="0.35">
      <c r="B277" s="3" t="s">
        <v>371</v>
      </c>
      <c r="C277" s="10" t="s">
        <v>1061</v>
      </c>
      <c r="D277" s="10" t="str">
        <f t="shared" si="5"/>
        <v>('MERGED REPORT FEE - ACRISURE MORTGAGE, LLC',null,null,null),</v>
      </c>
    </row>
    <row r="278" spans="1:4" x14ac:dyDescent="0.35">
      <c r="B278" s="3" t="s">
        <v>371</v>
      </c>
      <c r="C278" s="10" t="s">
        <v>1063</v>
      </c>
      <c r="D278" s="10" t="str">
        <f t="shared" si="5"/>
        <v>('MERGED REPORT FEE - FUSION HOME LOANS',null,null,null),</v>
      </c>
    </row>
    <row r="279" spans="1:4" x14ac:dyDescent="0.35">
      <c r="B279" s="3" t="s">
        <v>371</v>
      </c>
      <c r="C279" s="10" t="s">
        <v>1064</v>
      </c>
      <c r="D279" s="10" t="str">
        <f t="shared" si="5"/>
        <v>('MERGED REPORT FEE - GL FINANCIAL SERVICES',null,null,null),</v>
      </c>
    </row>
    <row r="280" spans="1:4" x14ac:dyDescent="0.35">
      <c r="B280" s="3" t="s">
        <v>371</v>
      </c>
      <c r="C280" s="10" t="s">
        <v>162</v>
      </c>
      <c r="D280" s="10" t="str">
        <f t="shared" si="5"/>
        <v>('MERGED REPORT FEE - HOMEOWNERS MTG 71180',null,null,null),</v>
      </c>
    </row>
    <row r="281" spans="1:4" x14ac:dyDescent="0.35">
      <c r="B281" s="3" t="s">
        <v>371</v>
      </c>
      <c r="C281" s="10" t="s">
        <v>1070</v>
      </c>
      <c r="D281" s="10" t="str">
        <f t="shared" si="5"/>
        <v>('MERGED REPORT FEE - LIBERTY HOME LOANS, LLC 71200',null,null,null),</v>
      </c>
    </row>
    <row r="282" spans="1:4" x14ac:dyDescent="0.35">
      <c r="B282" s="3" t="s">
        <v>371</v>
      </c>
      <c r="C282" s="10" t="s">
        <v>1071</v>
      </c>
      <c r="D282" s="10" t="str">
        <f t="shared" si="5"/>
        <v>('MERGED REPORT FEE - NOVA HOME LOANS',null,null,null),</v>
      </c>
    </row>
    <row r="283" spans="1:4" x14ac:dyDescent="0.35">
      <c r="B283" s="3" t="s">
        <v>371</v>
      </c>
      <c r="C283" s="10" t="s">
        <v>1073</v>
      </c>
      <c r="D283" s="10" t="str">
        <f t="shared" si="5"/>
        <v>('MERGED REPORT FEE - RESIDENTIAL MTG NETWORK YS101',null,null,null),</v>
      </c>
    </row>
    <row r="284" spans="1:4" x14ac:dyDescent="0.35">
      <c r="B284" s="3" t="s">
        <v>371</v>
      </c>
      <c r="C284" s="10" t="s">
        <v>1075</v>
      </c>
      <c r="D284" s="10" t="str">
        <f t="shared" si="5"/>
        <v>('MERGED REPORT FEE - THE MORTGAGE FIRM ONLY',null,null,null),</v>
      </c>
    </row>
    <row r="285" spans="1:4" x14ac:dyDescent="0.35">
      <c r="B285" s="3" t="s">
        <v>371</v>
      </c>
      <c r="C285" s="10" t="s">
        <v>1076</v>
      </c>
      <c r="D285" s="10" t="str">
        <f t="shared" si="5"/>
        <v>('MERGED REPORT FEE - TRAILBLAZER MORTGAGE 71168',null,null,null),</v>
      </c>
    </row>
    <row r="286" spans="1:4" x14ac:dyDescent="0.35">
      <c r="B286" s="3" t="s">
        <v>371</v>
      </c>
      <c r="C286" s="10" t="s">
        <v>1077</v>
      </c>
      <c r="D286" s="10" t="str">
        <f t="shared" si="5"/>
        <v>('MERGED REPORT FEE - TRAILBLAZER MORTGAGE LLC',null,null,null),</v>
      </c>
    </row>
    <row r="287" spans="1:4" x14ac:dyDescent="0.35">
      <c r="B287" s="3" t="s">
        <v>371</v>
      </c>
      <c r="C287" s="10" t="s">
        <v>1078</v>
      </c>
      <c r="D287" s="10" t="str">
        <f t="shared" si="5"/>
        <v>('MERGED REPORT FEE - TRAILBLAZER MTG 71168',null,null,null),</v>
      </c>
    </row>
    <row r="288" spans="1:4" x14ac:dyDescent="0.35">
      <c r="A288" t="s">
        <v>187</v>
      </c>
      <c r="B288" s="3" t="s">
        <v>371</v>
      </c>
      <c r="C288" s="11" t="s">
        <v>187</v>
      </c>
      <c r="D288" s="10" t="str">
        <f t="shared" si="5"/>
        <v>('MERS_LIEN',null,null,null),</v>
      </c>
    </row>
    <row r="289" spans="1:4" x14ac:dyDescent="0.35">
      <c r="A289" t="s">
        <v>9</v>
      </c>
      <c r="B289" s="3" t="s">
        <v>371</v>
      </c>
      <c r="C289" s="10" t="s">
        <v>9</v>
      </c>
      <c r="D289" s="10" t="str">
        <f t="shared" si="5"/>
        <v>('MISC',null,null,null),</v>
      </c>
    </row>
    <row r="290" spans="1:4" x14ac:dyDescent="0.35">
      <c r="A290" t="s">
        <v>76</v>
      </c>
      <c r="B290" s="3" t="s">
        <v>371</v>
      </c>
      <c r="C290" s="10" t="s">
        <v>76</v>
      </c>
      <c r="D290" s="10" t="str">
        <f t="shared" si="5"/>
        <v>('MONTHLY MINIMUM',null,null,null),</v>
      </c>
    </row>
    <row r="291" spans="1:4" x14ac:dyDescent="0.35">
      <c r="A291" t="s">
        <v>88</v>
      </c>
      <c r="B291" s="3" t="s">
        <v>371</v>
      </c>
      <c r="C291" s="10" t="s">
        <v>88</v>
      </c>
      <c r="D291" s="10" t="str">
        <f t="shared" si="5"/>
        <v>('MORTGAGE BUILDER-ORDER',null,null,null),</v>
      </c>
    </row>
    <row r="292" spans="1:4" x14ac:dyDescent="0.35">
      <c r="A292" t="s">
        <v>273</v>
      </c>
      <c r="B292" s="3" t="s">
        <v>371</v>
      </c>
      <c r="C292" s="10" t="s">
        <v>273</v>
      </c>
      <c r="D292" s="10" t="str">
        <f t="shared" si="5"/>
        <v>('MORTGAGE BUILDER-RETRIEVE',null,null,null),</v>
      </c>
    </row>
    <row r="293" spans="1:4" x14ac:dyDescent="0.35">
      <c r="B293" s="3" t="s">
        <v>371</v>
      </c>
      <c r="C293" s="10" t="s">
        <v>1079</v>
      </c>
      <c r="D293" s="10" t="str">
        <f t="shared" si="5"/>
        <v>('MORTGAGE CADENCE-RETRIEVE',null,null,null),</v>
      </c>
    </row>
    <row r="294" spans="1:4" x14ac:dyDescent="0.35">
      <c r="A294" t="s">
        <v>237</v>
      </c>
      <c r="B294" s="3" t="s">
        <v>371</v>
      </c>
      <c r="C294" s="10" t="s">
        <v>237</v>
      </c>
      <c r="D294" s="10" t="str">
        <f t="shared" si="5"/>
        <v>('MORTGAGEBOT-ORDER',null,null,null),</v>
      </c>
    </row>
    <row r="295" spans="1:4" x14ac:dyDescent="0.35">
      <c r="A295" t="s">
        <v>42</v>
      </c>
      <c r="B295" s="3" t="s">
        <v>371</v>
      </c>
      <c r="C295" s="10" t="s">
        <v>42</v>
      </c>
      <c r="D295" s="10" t="str">
        <f t="shared" si="5"/>
        <v>('MORTGAGEBOT-RETRIEVE',null,null,null),</v>
      </c>
    </row>
    <row r="296" spans="1:4" x14ac:dyDescent="0.35">
      <c r="A296" t="s">
        <v>110</v>
      </c>
      <c r="B296" s="3" t="s">
        <v>371</v>
      </c>
      <c r="C296" s="10" t="s">
        <v>110</v>
      </c>
      <c r="D296" s="10" t="str">
        <f t="shared" si="5"/>
        <v>('MORTGAGEDIRECTOR-ORDER',null,null,null),</v>
      </c>
    </row>
    <row r="297" spans="1:4" x14ac:dyDescent="0.35">
      <c r="A297" t="s">
        <v>327</v>
      </c>
      <c r="B297" s="3" t="s">
        <v>371</v>
      </c>
      <c r="C297" s="10" t="s">
        <v>327</v>
      </c>
      <c r="D297" s="10" t="str">
        <f t="shared" si="5"/>
        <v>('MORTGAGEDIRECTOR-RETRIEVE',null,null,null),</v>
      </c>
    </row>
    <row r="298" spans="1:4" x14ac:dyDescent="0.35">
      <c r="A298" t="s">
        <v>135</v>
      </c>
      <c r="B298" s="3" t="s">
        <v>371</v>
      </c>
      <c r="C298" s="10" t="s">
        <v>135</v>
      </c>
      <c r="D298" s="10" t="str">
        <f t="shared" si="5"/>
        <v>('MORTGAGEFLEX-RETRIEVE',null,null,null),</v>
      </c>
    </row>
    <row r="299" spans="1:4" x14ac:dyDescent="0.35">
      <c r="A299" t="s">
        <v>60</v>
      </c>
      <c r="B299" s="3" t="s">
        <v>371</v>
      </c>
      <c r="C299" s="10" t="s">
        <v>60</v>
      </c>
      <c r="D299" s="10" t="str">
        <f t="shared" si="5"/>
        <v>('MORTGAGESELECTALL',null,null,null),</v>
      </c>
    </row>
    <row r="300" spans="1:4" x14ac:dyDescent="0.35">
      <c r="B300" s="3" t="s">
        <v>371</v>
      </c>
      <c r="C300" s="10" t="s">
        <v>1008</v>
      </c>
      <c r="D300" s="10" t="str">
        <f t="shared" si="5"/>
        <v>('MORTGAGEULTIMATE',null,null,null),</v>
      </c>
    </row>
    <row r="301" spans="1:4" x14ac:dyDescent="0.35">
      <c r="A301" t="s">
        <v>66</v>
      </c>
      <c r="B301" s="3" t="s">
        <v>371</v>
      </c>
      <c r="C301" s="10" t="s">
        <v>66</v>
      </c>
      <c r="D301" s="10" t="str">
        <f t="shared" si="5"/>
        <v>('MSAEMPLOYMENT',null,null,null),</v>
      </c>
    </row>
    <row r="302" spans="1:4" x14ac:dyDescent="0.35">
      <c r="A302" t="s">
        <v>85</v>
      </c>
      <c r="B302" s="3" t="s">
        <v>371</v>
      </c>
      <c r="C302" s="10" t="s">
        <v>85</v>
      </c>
      <c r="D302" s="10" t="str">
        <f t="shared" si="5"/>
        <v>('MSAINCOME',null,null,null),</v>
      </c>
    </row>
    <row r="303" spans="1:4" x14ac:dyDescent="0.35">
      <c r="B303" s="3" t="s">
        <v>371</v>
      </c>
      <c r="C303" s="10" t="s">
        <v>1080</v>
      </c>
      <c r="D303" s="10" t="str">
        <f t="shared" si="5"/>
        <v>('MTG RATING',null,null,null),</v>
      </c>
    </row>
    <row r="304" spans="1:4" x14ac:dyDescent="0.35">
      <c r="A304" t="s">
        <v>202</v>
      </c>
      <c r="B304" s="3" t="s">
        <v>371</v>
      </c>
      <c r="C304" s="10" t="s">
        <v>202</v>
      </c>
      <c r="D304" s="10" t="str">
        <f t="shared" si="5"/>
        <v>('N/A',null,null,null),</v>
      </c>
    </row>
    <row r="305" spans="1:4" x14ac:dyDescent="0.35">
      <c r="A305" t="s">
        <v>354</v>
      </c>
      <c r="B305" s="3" t="s">
        <v>371</v>
      </c>
      <c r="C305" s="11" t="s">
        <v>354</v>
      </c>
      <c r="D305" s="10" t="str">
        <f t="shared" si="5"/>
        <v>('New VOE',null,null,null),</v>
      </c>
    </row>
    <row r="306" spans="1:4" x14ac:dyDescent="0.35">
      <c r="A306" t="s">
        <v>99</v>
      </c>
      <c r="B306" s="3" t="s">
        <v>371</v>
      </c>
      <c r="C306" s="10" t="s">
        <v>99</v>
      </c>
      <c r="D306" s="10" t="str">
        <f t="shared" si="5"/>
        <v>('NODOC RESCORE FEE',null,null,null),</v>
      </c>
    </row>
    <row r="307" spans="1:4" x14ac:dyDescent="0.35">
      <c r="B307" s="3" t="s">
        <v>371</v>
      </c>
      <c r="C307" s="10" t="s">
        <v>1081</v>
      </c>
      <c r="D307" s="10" t="str">
        <f t="shared" si="5"/>
        <v>('OPENCLOSE-ORDER',null,null,null),</v>
      </c>
    </row>
    <row r="308" spans="1:4" x14ac:dyDescent="0.35">
      <c r="B308" s="3" t="s">
        <v>371</v>
      </c>
      <c r="C308" s="10" t="s">
        <v>1082</v>
      </c>
      <c r="D308" s="10" t="str">
        <f t="shared" si="5"/>
        <v>('OPENCLOSE-RETRIEVE',null,null,null),</v>
      </c>
    </row>
    <row r="309" spans="1:4" x14ac:dyDescent="0.35">
      <c r="A309" t="s">
        <v>290</v>
      </c>
      <c r="B309" s="3" t="s">
        <v>371</v>
      </c>
      <c r="C309" s="10" t="s">
        <v>290</v>
      </c>
      <c r="D309" s="10" t="str">
        <f t="shared" si="5"/>
        <v>('OTHERCHARGE',null,null,null),</v>
      </c>
    </row>
    <row r="310" spans="1:4" x14ac:dyDescent="0.35">
      <c r="A310" t="s">
        <v>243</v>
      </c>
      <c r="B310" s="3" t="s">
        <v>371</v>
      </c>
      <c r="C310" s="10" t="s">
        <v>243</v>
      </c>
      <c r="D310" s="10" t="str">
        <f t="shared" si="5"/>
        <v>('PARTICIPANT_IDV',null,null,null),</v>
      </c>
    </row>
    <row r="311" spans="1:4" x14ac:dyDescent="0.35">
      <c r="A311" t="s">
        <v>256</v>
      </c>
      <c r="B311" s="3" t="s">
        <v>371</v>
      </c>
      <c r="C311" s="10" t="s">
        <v>256</v>
      </c>
      <c r="D311" s="10" t="str">
        <f t="shared" si="5"/>
        <v>('PASS',null,null,null),</v>
      </c>
    </row>
    <row r="312" spans="1:4" x14ac:dyDescent="0.35">
      <c r="A312" t="s">
        <v>259</v>
      </c>
      <c r="B312" s="3" t="s">
        <v>371</v>
      </c>
      <c r="C312" s="11" t="s">
        <v>259</v>
      </c>
      <c r="D312" s="10" t="str">
        <f t="shared" si="5"/>
        <v>('Person and Property/B1P0',null,null,null),</v>
      </c>
    </row>
    <row r="313" spans="1:4" x14ac:dyDescent="0.35">
      <c r="A313" t="s">
        <v>155</v>
      </c>
      <c r="B313" s="3" t="s">
        <v>371</v>
      </c>
      <c r="C313" s="10" t="s">
        <v>155</v>
      </c>
      <c r="D313" s="10" t="str">
        <f t="shared" si="5"/>
        <v>('POINT WEBCONNECT-ORDER',null,null,null),</v>
      </c>
    </row>
    <row r="314" spans="1:4" x14ac:dyDescent="0.35">
      <c r="A314" t="s">
        <v>198</v>
      </c>
      <c r="B314" s="3" t="s">
        <v>371</v>
      </c>
      <c r="C314" s="10" t="s">
        <v>198</v>
      </c>
      <c r="D314" s="10" t="str">
        <f t="shared" si="5"/>
        <v>('POINT WEBCONNECT-RETRIEVE',null,null,null),</v>
      </c>
    </row>
    <row r="315" spans="1:4" x14ac:dyDescent="0.35">
      <c r="B315" s="3" t="s">
        <v>371</v>
      </c>
      <c r="C315" s="10" t="s">
        <v>1083</v>
      </c>
      <c r="D315" s="10" t="str">
        <f t="shared" si="5"/>
        <v>('POINTWEBCONNECT-ORDER',null,null,null),</v>
      </c>
    </row>
    <row r="316" spans="1:4" x14ac:dyDescent="0.35">
      <c r="B316" s="3" t="s">
        <v>371</v>
      </c>
      <c r="C316" s="10" t="s">
        <v>1084</v>
      </c>
      <c r="D316" s="10" t="str">
        <f t="shared" si="5"/>
        <v>('POINTWEBCONNECT-RETRIEVE',null,null,null),</v>
      </c>
    </row>
    <row r="317" spans="1:4" x14ac:dyDescent="0.35">
      <c r="A317" t="s">
        <v>204</v>
      </c>
      <c r="B317" s="3" t="s">
        <v>371</v>
      </c>
      <c r="C317" s="10" t="s">
        <v>204</v>
      </c>
      <c r="D317" s="10" t="str">
        <f t="shared" si="5"/>
        <v>('PORTFOLIO REFRESH',null,null,null),</v>
      </c>
    </row>
    <row r="318" spans="1:4" x14ac:dyDescent="0.35">
      <c r="A318" t="s">
        <v>124</v>
      </c>
      <c r="B318" s="3" t="s">
        <v>371</v>
      </c>
      <c r="C318" s="10" t="s">
        <v>124</v>
      </c>
      <c r="D318" s="10" t="str">
        <f t="shared" si="5"/>
        <v>('POSTBACK:ADV-120 EXPERT-A106D',null,null,null),</v>
      </c>
    </row>
    <row r="319" spans="1:4" x14ac:dyDescent="0.35">
      <c r="A319" t="s">
        <v>239</v>
      </c>
      <c r="B319" s="3" t="s">
        <v>371</v>
      </c>
      <c r="C319" s="10" t="s">
        <v>239</v>
      </c>
      <c r="D319" s="10" t="str">
        <f t="shared" si="5"/>
        <v>('POSTBACK:ADV-120-A103D',null,null,null),</v>
      </c>
    </row>
    <row r="320" spans="1:4" x14ac:dyDescent="0.35">
      <c r="A320" t="s">
        <v>252</v>
      </c>
      <c r="B320" s="3" t="s">
        <v>371</v>
      </c>
      <c r="C320" s="10" t="s">
        <v>252</v>
      </c>
      <c r="D320" s="10" t="str">
        <f t="shared" si="5"/>
        <v>('POSTBACK:ADVCUSTOM1-A141D',null,null,null),</v>
      </c>
    </row>
    <row r="321" spans="1:4" x14ac:dyDescent="0.35">
      <c r="A321" t="s">
        <v>73</v>
      </c>
      <c r="B321" s="3" t="s">
        <v>371</v>
      </c>
      <c r="C321" s="11" t="s">
        <v>73</v>
      </c>
      <c r="D321" s="10" t="str">
        <f t="shared" si="5"/>
        <v>('POSTBACK:ADVCUSTOM2-A142D',null,null,null),</v>
      </c>
    </row>
    <row r="322" spans="1:4" x14ac:dyDescent="0.35">
      <c r="A322" t="s">
        <v>54</v>
      </c>
      <c r="B322" s="3" t="s">
        <v>371</v>
      </c>
      <c r="C322" s="10" t="s">
        <v>54</v>
      </c>
      <c r="D322" s="10" t="str">
        <f t="shared" si="5"/>
        <v>('POSTBACK:ADV-MFPRECONFIRM-A117D',null,null,null),</v>
      </c>
    </row>
    <row r="323" spans="1:4" x14ac:dyDescent="0.35">
      <c r="A323" t="s">
        <v>57</v>
      </c>
      <c r="B323" s="3" t="s">
        <v>371</v>
      </c>
      <c r="C323" s="10" t="s">
        <v>57</v>
      </c>
      <c r="D323" s="10" t="str">
        <f t="shared" si="5"/>
        <v>('POSTBACK:BDV-BANK ACCOUNT-V117D',null,null,null),</v>
      </c>
    </row>
    <row r="324" spans="1:4" x14ac:dyDescent="0.35">
      <c r="A324" t="s">
        <v>137</v>
      </c>
      <c r="B324" s="3" t="s">
        <v>371</v>
      </c>
      <c r="C324" s="11" t="s">
        <v>137</v>
      </c>
      <c r="D324" s="10" t="str">
        <f t="shared" ref="D324:D387" si="6">_xlfn.TEXTJOIN("",FALSE,"('",TRIM(C324),"',null,null,null),")</f>
        <v>('POSTBACK:BDV-COMPANY C10-V111D',null,null,null),</v>
      </c>
    </row>
    <row r="325" spans="1:4" x14ac:dyDescent="0.35">
      <c r="A325" t="s">
        <v>126</v>
      </c>
      <c r="B325" s="3" t="s">
        <v>371</v>
      </c>
      <c r="C325" s="10" t="s">
        <v>126</v>
      </c>
      <c r="D325" s="10" t="str">
        <f t="shared" si="6"/>
        <v>('POSTBACK:BDV-COMPANY C1-V118D',null,null,null),</v>
      </c>
    </row>
    <row r="326" spans="1:4" x14ac:dyDescent="0.35">
      <c r="A326" t="s">
        <v>338</v>
      </c>
      <c r="B326" s="3" t="s">
        <v>371</v>
      </c>
      <c r="C326" s="10" t="s">
        <v>338</v>
      </c>
      <c r="D326" s="10" t="str">
        <f t="shared" si="6"/>
        <v>('POSTBACK:PARTICIPANT RPT-F114D',null,null,null),</v>
      </c>
    </row>
    <row r="327" spans="1:4" x14ac:dyDescent="0.35">
      <c r="A327" t="s">
        <v>154</v>
      </c>
      <c r="B327" s="3" t="s">
        <v>371</v>
      </c>
      <c r="C327" s="10" t="s">
        <v>154</v>
      </c>
      <c r="D327" s="10" t="str">
        <f t="shared" si="6"/>
        <v>('POSTBACK:PERSON-BLJSUP-F191D',null,null,null),</v>
      </c>
    </row>
    <row r="328" spans="1:4" x14ac:dyDescent="0.35">
      <c r="A328" t="s">
        <v>336</v>
      </c>
      <c r="B328" s="3" t="s">
        <v>371</v>
      </c>
      <c r="C328" s="11" t="s">
        <v>336</v>
      </c>
      <c r="D328" s="10" t="str">
        <f t="shared" si="6"/>
        <v>('POSTBACK:PERSON-PROPERTY-F145D',null,null,null),</v>
      </c>
    </row>
    <row r="329" spans="1:4" x14ac:dyDescent="0.35">
      <c r="A329" t="s">
        <v>241</v>
      </c>
      <c r="B329" s="3" t="s">
        <v>371</v>
      </c>
      <c r="C329" s="10" t="s">
        <v>241</v>
      </c>
      <c r="D329" s="10" t="str">
        <f t="shared" si="6"/>
        <v>('POSTBACK:PERSON-SSN-89-ESIGN-F150D',null,null,null),</v>
      </c>
    </row>
    <row r="330" spans="1:4" x14ac:dyDescent="0.35">
      <c r="A330" t="s">
        <v>275</v>
      </c>
      <c r="B330" s="3" t="s">
        <v>371</v>
      </c>
      <c r="C330" s="11" t="s">
        <v>275</v>
      </c>
      <c r="D330" s="10" t="str">
        <f t="shared" si="6"/>
        <v>('POSTBACK:PERSON-SSNHIST-F118D',null,null,null),</v>
      </c>
    </row>
    <row r="331" spans="1:4" x14ac:dyDescent="0.35">
      <c r="A331" t="s">
        <v>104</v>
      </c>
      <c r="B331" s="3" t="s">
        <v>371</v>
      </c>
      <c r="C331" s="10" t="s">
        <v>104</v>
      </c>
      <c r="D331" s="10" t="str">
        <f t="shared" si="6"/>
        <v>('POSTBACK:PERSON-SSNVER-89-F117D',null,null,null),</v>
      </c>
    </row>
    <row r="332" spans="1:4" x14ac:dyDescent="0.35">
      <c r="B332" s="3" t="s">
        <v>371</v>
      </c>
      <c r="C332" s="10" t="s">
        <v>1010</v>
      </c>
      <c r="D332" s="10" t="str">
        <f t="shared" si="6"/>
        <v>('POSTBACK:HALCYONICE',null,null,null),</v>
      </c>
    </row>
    <row r="333" spans="1:4" x14ac:dyDescent="0.35">
      <c r="B333" s="3" t="s">
        <v>371</v>
      </c>
      <c r="C333" s="10" t="s">
        <v>1011</v>
      </c>
      <c r="D333" s="10" t="str">
        <f t="shared" si="6"/>
        <v>('POSTBACK:HALCYONTRANSCRIPTS',null,null,null),</v>
      </c>
    </row>
    <row r="334" spans="1:4" x14ac:dyDescent="0.35">
      <c r="B334" s="3" t="s">
        <v>371</v>
      </c>
      <c r="C334" s="10" t="s">
        <v>1085</v>
      </c>
      <c r="D334" s="10" t="str">
        <f t="shared" si="6"/>
        <v>('POSTBACK:PREAUTH',null,null,null),</v>
      </c>
    </row>
    <row r="335" spans="1:4" x14ac:dyDescent="0.35">
      <c r="B335" s="3" t="s">
        <v>371</v>
      </c>
      <c r="C335" s="10" t="s">
        <v>1012</v>
      </c>
      <c r="D335" s="10" t="str">
        <f t="shared" si="6"/>
        <v>('POSTBACK:PREAUTHHALCYONICE',null,null,null),</v>
      </c>
    </row>
    <row r="336" spans="1:4" x14ac:dyDescent="0.35">
      <c r="A336" t="s">
        <v>251</v>
      </c>
      <c r="B336" s="3" t="s">
        <v>371</v>
      </c>
      <c r="C336" s="10" t="s">
        <v>251</v>
      </c>
      <c r="D336" s="10" t="str">
        <f t="shared" si="6"/>
        <v>('PRE-QUAL REPORTS',null,null,null),</v>
      </c>
    </row>
    <row r="337" spans="1:4" x14ac:dyDescent="0.35">
      <c r="A337" t="s">
        <v>116</v>
      </c>
      <c r="B337" s="3" t="s">
        <v>371</v>
      </c>
      <c r="C337" s="11" t="s">
        <v>116</v>
      </c>
      <c r="D337" s="10" t="str">
        <f t="shared" si="6"/>
        <v>('PROPERTY_HISTORY',null,null,null),</v>
      </c>
    </row>
    <row r="338" spans="1:4" x14ac:dyDescent="0.35">
      <c r="A338" t="s">
        <v>63</v>
      </c>
      <c r="B338" s="3" t="s">
        <v>371</v>
      </c>
      <c r="C338" s="11" t="s">
        <v>63</v>
      </c>
      <c r="D338" s="10" t="str">
        <f t="shared" si="6"/>
        <v>('PUB EXP FILE',null,null,null),</v>
      </c>
    </row>
    <row r="339" spans="1:4" x14ac:dyDescent="0.35">
      <c r="A339" t="s">
        <v>244</v>
      </c>
      <c r="B339" s="3" t="s">
        <v>371</v>
      </c>
      <c r="C339" s="11" t="s">
        <v>244</v>
      </c>
      <c r="D339" s="10" t="str">
        <f t="shared" si="6"/>
        <v>('PUBLISHED IMPORT',null,null,null),</v>
      </c>
    </row>
    <row r="340" spans="1:4" x14ac:dyDescent="0.35">
      <c r="A340" t="s">
        <v>353</v>
      </c>
      <c r="B340" s="3" t="s">
        <v>371</v>
      </c>
      <c r="C340" s="11" t="s">
        <v>353</v>
      </c>
      <c r="D340" s="10" t="str">
        <f t="shared" si="6"/>
        <v>('RAPID RESCORE - MIXED FILE',null,null,null),</v>
      </c>
    </row>
    <row r="341" spans="1:4" x14ac:dyDescent="0.35">
      <c r="A341" t="s">
        <v>163</v>
      </c>
      <c r="B341" s="3" t="s">
        <v>371</v>
      </c>
      <c r="C341" s="11" t="s">
        <v>163</v>
      </c>
      <c r="D341" s="10" t="str">
        <f t="shared" si="6"/>
        <v>('RAPID RESCORE 1 TRADE/1 BUREAU-IND',null,null,null),</v>
      </c>
    </row>
    <row r="342" spans="1:4" x14ac:dyDescent="0.35">
      <c r="A342" t="s">
        <v>183</v>
      </c>
      <c r="B342" s="3" t="s">
        <v>371</v>
      </c>
      <c r="C342" s="11" t="s">
        <v>183</v>
      </c>
      <c r="D342" s="10" t="str">
        <f t="shared" si="6"/>
        <v>('RAPID RESCORE 1 TRADE/3 BUREAUS-IND',null,null,null),</v>
      </c>
    </row>
    <row r="343" spans="1:4" x14ac:dyDescent="0.35">
      <c r="A343" t="s">
        <v>184</v>
      </c>
      <c r="B343" s="3" t="s">
        <v>371</v>
      </c>
      <c r="C343" s="11" t="s">
        <v>184</v>
      </c>
      <c r="D343" s="10" t="str">
        <f t="shared" si="6"/>
        <v>('RAPID RESCORE 1 TRADE/3 BUREAUS-JNT',null,null,null),</v>
      </c>
    </row>
    <row r="344" spans="1:4" x14ac:dyDescent="0.35">
      <c r="A344" t="s">
        <v>132</v>
      </c>
      <c r="B344" s="3" t="s">
        <v>371</v>
      </c>
      <c r="C344" s="11" t="s">
        <v>132</v>
      </c>
      <c r="D344" s="10" t="str">
        <f t="shared" si="6"/>
        <v>('RAPID RESCORE INDIVIDUAL',null,null,null),</v>
      </c>
    </row>
    <row r="345" spans="1:4" x14ac:dyDescent="0.35">
      <c r="A345" t="s">
        <v>30</v>
      </c>
      <c r="B345" s="3" t="s">
        <v>371</v>
      </c>
      <c r="C345" s="11" t="s">
        <v>30</v>
      </c>
      <c r="D345" s="10" t="str">
        <f t="shared" si="6"/>
        <v>('RAPID RESCORE JOINT',null,null,null),</v>
      </c>
    </row>
    <row r="346" spans="1:4" x14ac:dyDescent="0.35">
      <c r="A346" t="s">
        <v>191</v>
      </c>
      <c r="B346" s="3" t="s">
        <v>371</v>
      </c>
      <c r="C346" s="10" t="s">
        <v>191</v>
      </c>
      <c r="D346" s="10" t="str">
        <f t="shared" si="6"/>
        <v>('REFRESH',null,null,null),</v>
      </c>
    </row>
    <row r="347" spans="1:4" x14ac:dyDescent="0.35">
      <c r="A347" t="s">
        <v>328</v>
      </c>
      <c r="B347" s="3" t="s">
        <v>371</v>
      </c>
      <c r="C347" s="10" t="s">
        <v>328</v>
      </c>
      <c r="D347" s="10" t="str">
        <f t="shared" si="6"/>
        <v>('REFRESH/JNT',null,null,null),</v>
      </c>
    </row>
    <row r="348" spans="1:4" x14ac:dyDescent="0.35">
      <c r="A348" t="s">
        <v>113</v>
      </c>
      <c r="B348" s="3" t="s">
        <v>371</v>
      </c>
      <c r="C348" s="11" t="s">
        <v>113</v>
      </c>
      <c r="D348" s="10" t="str">
        <f t="shared" si="6"/>
        <v>('REPORT - SCORE LIST',null,null,null),</v>
      </c>
    </row>
    <row r="349" spans="1:4" x14ac:dyDescent="0.35">
      <c r="A349" t="s">
        <v>307</v>
      </c>
      <c r="B349" s="3" t="s">
        <v>371</v>
      </c>
      <c r="C349" s="10" t="s">
        <v>307</v>
      </c>
      <c r="D349" s="10" t="str">
        <f t="shared" si="6"/>
        <v>('RESCORE FEE',null,null,null),</v>
      </c>
    </row>
    <row r="350" spans="1:4" x14ac:dyDescent="0.35">
      <c r="A350" t="s">
        <v>298</v>
      </c>
      <c r="B350" s="3" t="s">
        <v>371</v>
      </c>
      <c r="C350" s="10" t="s">
        <v>298</v>
      </c>
      <c r="D350" s="10" t="str">
        <f t="shared" si="6"/>
        <v>('RESCORE PROCESSING FEE',null,null,null),</v>
      </c>
    </row>
    <row r="351" spans="1:4" x14ac:dyDescent="0.35">
      <c r="A351" t="s">
        <v>288</v>
      </c>
      <c r="B351" s="3" t="s">
        <v>371</v>
      </c>
      <c r="C351" s="10" t="s">
        <v>288</v>
      </c>
      <c r="D351" s="10" t="str">
        <f t="shared" si="6"/>
        <v>('RESEARCHEDVOI',null,null,null),</v>
      </c>
    </row>
    <row r="352" spans="1:4" x14ac:dyDescent="0.35">
      <c r="A352" t="s">
        <v>233</v>
      </c>
      <c r="B352" s="3" t="s">
        <v>371</v>
      </c>
      <c r="C352" s="10" t="s">
        <v>233</v>
      </c>
      <c r="D352" s="10" t="str">
        <f t="shared" si="6"/>
        <v>('RESIDENCY VERIFICATION',null,null,null),</v>
      </c>
    </row>
    <row r="353" spans="1:4" x14ac:dyDescent="0.35">
      <c r="A353" t="s">
        <v>4</v>
      </c>
      <c r="B353" s="3" t="s">
        <v>371</v>
      </c>
      <c r="C353" s="10" t="s">
        <v>4</v>
      </c>
      <c r="D353" s="10" t="str">
        <f t="shared" si="6"/>
        <v>('REVERIFY',null,null,null),</v>
      </c>
    </row>
    <row r="354" spans="1:4" x14ac:dyDescent="0.35">
      <c r="B354" s="3" t="s">
        <v>371</v>
      </c>
      <c r="C354" s="10" t="s">
        <v>1003</v>
      </c>
      <c r="D354" s="10" t="str">
        <f t="shared" si="6"/>
        <v>('REVERIFYEMP',null,null,null),</v>
      </c>
    </row>
    <row r="355" spans="1:4" x14ac:dyDescent="0.35">
      <c r="B355" s="3" t="s">
        <v>371</v>
      </c>
      <c r="C355" s="10" t="s">
        <v>1086</v>
      </c>
      <c r="D355" s="10" t="str">
        <f t="shared" si="6"/>
        <v>('REVERSEVISION-ORDER',null,null,null),</v>
      </c>
    </row>
    <row r="356" spans="1:4" x14ac:dyDescent="0.35">
      <c r="A356" t="s">
        <v>232</v>
      </c>
      <c r="B356" s="3" t="s">
        <v>371</v>
      </c>
      <c r="C356" s="10" t="s">
        <v>232</v>
      </c>
      <c r="D356" s="10" t="str">
        <f t="shared" si="6"/>
        <v>('RMCR',null,null,null),</v>
      </c>
    </row>
    <row r="357" spans="1:4" x14ac:dyDescent="0.35">
      <c r="A357" t="s">
        <v>87</v>
      </c>
      <c r="C357" s="11" t="s">
        <v>87</v>
      </c>
      <c r="D357" s="10" t="str">
        <f t="shared" si="6"/>
        <v>('RMCR BANKRUPTCY',null,null,null),</v>
      </c>
    </row>
    <row r="358" spans="1:4" x14ac:dyDescent="0.35">
      <c r="A358" t="s">
        <v>205</v>
      </c>
      <c r="C358" s="10" t="s">
        <v>205</v>
      </c>
      <c r="D358" s="10" t="str">
        <f t="shared" si="6"/>
        <v>('RUSH',null,null,null),</v>
      </c>
    </row>
    <row r="359" spans="1:4" x14ac:dyDescent="0.35">
      <c r="A359" t="s">
        <v>102</v>
      </c>
      <c r="C359" s="10" t="s">
        <v>102</v>
      </c>
      <c r="D359" s="10" t="str">
        <f t="shared" si="6"/>
        <v>('RUSH CHARGE',null,null,null),</v>
      </c>
    </row>
    <row r="360" spans="1:4" x14ac:dyDescent="0.35">
      <c r="A360" t="s">
        <v>71</v>
      </c>
      <c r="C360" s="10" t="s">
        <v>71</v>
      </c>
      <c r="D360" s="10" t="str">
        <f t="shared" si="6"/>
        <v>('RUSH FEE',null,null,null),</v>
      </c>
    </row>
    <row r="361" spans="1:4" x14ac:dyDescent="0.35">
      <c r="C361" s="10" t="s">
        <v>1005</v>
      </c>
      <c r="D361" s="10" t="str">
        <f t="shared" si="6"/>
        <v>('SCORENAVMANUALSIMULATOR',null,null,null),</v>
      </c>
    </row>
    <row r="362" spans="1:4" x14ac:dyDescent="0.35">
      <c r="C362" s="10" t="s">
        <v>1006</v>
      </c>
      <c r="D362" s="10" t="str">
        <f t="shared" si="6"/>
        <v>('SCORENAVMAP',null,null,null),</v>
      </c>
    </row>
    <row r="363" spans="1:4" x14ac:dyDescent="0.35">
      <c r="C363" s="10" t="s">
        <v>1007</v>
      </c>
      <c r="D363" s="10" t="str">
        <f t="shared" si="6"/>
        <v>('SCORENAVMONEYANDTARGETSIMULATOR',null,null,null),</v>
      </c>
    </row>
    <row r="364" spans="1:4" x14ac:dyDescent="0.35">
      <c r="A364" t="s">
        <v>235</v>
      </c>
      <c r="C364" s="10" t="s">
        <v>235</v>
      </c>
      <c r="D364" s="10" t="str">
        <f t="shared" si="6"/>
        <v>('SECONDARY USE',null,null,null),</v>
      </c>
    </row>
    <row r="365" spans="1:4" x14ac:dyDescent="0.35">
      <c r="A365" t="s">
        <v>189</v>
      </c>
      <c r="C365" s="10" t="s">
        <v>189</v>
      </c>
      <c r="D365" s="10" t="str">
        <f t="shared" si="6"/>
        <v>('SECONDARY_USE',null,null,null),</v>
      </c>
    </row>
    <row r="366" spans="1:4" x14ac:dyDescent="0.35">
      <c r="A366" t="s">
        <v>280</v>
      </c>
      <c r="C366" s="11" t="s">
        <v>280</v>
      </c>
      <c r="D366" s="10" t="str">
        <f t="shared" si="6"/>
        <v>('SITEXPRO - INVOLUNTARY LIENS',null,null,null),</v>
      </c>
    </row>
    <row r="367" spans="1:4" x14ac:dyDescent="0.35">
      <c r="A367" t="s">
        <v>344</v>
      </c>
      <c r="C367" s="11" t="s">
        <v>344</v>
      </c>
      <c r="D367" s="10" t="str">
        <f t="shared" si="6"/>
        <v>('SITEXPRO - PROPERTY DETAILS',null,null,null),</v>
      </c>
    </row>
    <row r="368" spans="1:4" x14ac:dyDescent="0.35">
      <c r="A368" t="s">
        <v>114</v>
      </c>
      <c r="C368" s="11" t="s">
        <v>114</v>
      </c>
      <c r="D368" s="10" t="str">
        <f t="shared" si="6"/>
        <v>('SITEXPRO - VOLUNTARY LIENS',null,null,null),</v>
      </c>
    </row>
    <row r="369" spans="1:4" x14ac:dyDescent="0.35">
      <c r="A369" t="s">
        <v>238</v>
      </c>
      <c r="C369" s="10" t="s">
        <v>238</v>
      </c>
      <c r="D369" s="10" t="str">
        <f t="shared" si="6"/>
        <v>('SOCIAL_SEARCH',null,null,null),</v>
      </c>
    </row>
    <row r="370" spans="1:4" x14ac:dyDescent="0.35">
      <c r="A370" t="s">
        <v>144</v>
      </c>
      <c r="C370" s="10" t="s">
        <v>144</v>
      </c>
      <c r="D370" s="10" t="str">
        <f t="shared" si="6"/>
        <v>('SSA89',null,null,null),</v>
      </c>
    </row>
    <row r="371" spans="1:4" x14ac:dyDescent="0.35">
      <c r="A371" t="s">
        <v>180</v>
      </c>
      <c r="C371" s="10" t="s">
        <v>180</v>
      </c>
      <c r="D371" s="10" t="str">
        <f t="shared" si="6"/>
        <v>('SSA-89 VERIFICATION',null,null,null),</v>
      </c>
    </row>
    <row r="372" spans="1:4" x14ac:dyDescent="0.35">
      <c r="A372" t="s">
        <v>215</v>
      </c>
      <c r="C372" s="10" t="s">
        <v>215</v>
      </c>
      <c r="D372" s="10" t="str">
        <f t="shared" si="6"/>
        <v>('SSW PAYMENT',null,null,null),</v>
      </c>
    </row>
    <row r="373" spans="1:4" x14ac:dyDescent="0.35">
      <c r="A373" t="s">
        <v>224</v>
      </c>
      <c r="C373" t="s">
        <v>224</v>
      </c>
      <c r="D373" s="10" t="str">
        <f t="shared" si="6"/>
        <v>('SUPPLEMENT',null,null,null),</v>
      </c>
    </row>
    <row r="374" spans="1:4" x14ac:dyDescent="0.35">
      <c r="A374" t="s">
        <v>131</v>
      </c>
      <c r="C374" s="10" t="s">
        <v>131</v>
      </c>
      <c r="D374" s="10" t="str">
        <f t="shared" si="6"/>
        <v>('SUPPLEMENT CHARGE',null,null,null),</v>
      </c>
    </row>
    <row r="375" spans="1:4" x14ac:dyDescent="0.35">
      <c r="A375" t="s">
        <v>97</v>
      </c>
      <c r="C375" s="10" t="s">
        <v>97</v>
      </c>
      <c r="D375" s="10" t="str">
        <f t="shared" si="6"/>
        <v>('SURCHARGE',null,null,null),</v>
      </c>
    </row>
    <row r="376" spans="1:4" x14ac:dyDescent="0.35">
      <c r="A376" t="s">
        <v>261</v>
      </c>
      <c r="C376" s="10" t="s">
        <v>261</v>
      </c>
      <c r="D376" s="10" t="str">
        <f t="shared" si="6"/>
        <v>('SURCHARGE - COMPLIANCE FEE',null,null,null),</v>
      </c>
    </row>
    <row r="377" spans="1:4" x14ac:dyDescent="0.35">
      <c r="A377" t="s">
        <v>70</v>
      </c>
      <c r="C377" s="10" t="s">
        <v>70</v>
      </c>
      <c r="D377" s="10" t="str">
        <f t="shared" si="6"/>
        <v>('SWAP APPLICANTS',null,null,null),</v>
      </c>
    </row>
    <row r="378" spans="1:4" x14ac:dyDescent="0.35">
      <c r="A378" t="s">
        <v>313</v>
      </c>
      <c r="C378" s="11" t="s">
        <v>313</v>
      </c>
      <c r="D378" s="10" t="str">
        <f t="shared" si="6"/>
        <v>('TAX RETURN VERIFICATION',null,null,null),</v>
      </c>
    </row>
    <row r="379" spans="1:4" x14ac:dyDescent="0.35">
      <c r="A379" t="s">
        <v>128</v>
      </c>
      <c r="C379" s="10" t="s">
        <v>128</v>
      </c>
      <c r="D379" s="10" t="str">
        <f t="shared" si="6"/>
        <v>('TAX RETURN VERIFICATION - 2 YEAR',null,null,null),</v>
      </c>
    </row>
    <row r="380" spans="1:4" x14ac:dyDescent="0.35">
      <c r="A380" t="s">
        <v>268</v>
      </c>
      <c r="C380" s="10" t="s">
        <v>268</v>
      </c>
      <c r="D380" s="10" t="str">
        <f t="shared" si="6"/>
        <v>('Tax Transcript',null,null,null),</v>
      </c>
    </row>
    <row r="381" spans="1:4" x14ac:dyDescent="0.35">
      <c r="A381" t="s">
        <v>206</v>
      </c>
      <c r="C381" s="11" t="s">
        <v>206</v>
      </c>
      <c r="D381" s="10" t="str">
        <f t="shared" si="6"/>
        <v>('Tax Transcript 2 YRS',null,null,null),</v>
      </c>
    </row>
    <row r="382" spans="1:4" x14ac:dyDescent="0.35">
      <c r="A382" t="s">
        <v>194</v>
      </c>
      <c r="C382" s="10" t="s">
        <v>194</v>
      </c>
      <c r="D382" s="10" t="str">
        <f t="shared" si="6"/>
        <v>('Tax Transcript Interface Fee',null,null,null),</v>
      </c>
    </row>
    <row r="383" spans="1:4" x14ac:dyDescent="0.35">
      <c r="A383" t="s">
        <v>318</v>
      </c>
      <c r="C383" s="11" t="s">
        <v>318</v>
      </c>
      <c r="D383" s="10" t="str">
        <f t="shared" si="6"/>
        <v>('Tax Transcript ORDER (1Y)',null,null,null),</v>
      </c>
    </row>
    <row r="384" spans="1:4" x14ac:dyDescent="0.35">
      <c r="A384" t="s">
        <v>172</v>
      </c>
      <c r="C384" s="11" t="s">
        <v>172</v>
      </c>
      <c r="D384" s="10" t="str">
        <f t="shared" si="6"/>
        <v>('Tax Transcript ORDER (2Y)',null,null,null),</v>
      </c>
    </row>
    <row r="385" spans="1:4" x14ac:dyDescent="0.35">
      <c r="A385" t="s">
        <v>55</v>
      </c>
      <c r="C385" s="11" t="s">
        <v>55</v>
      </c>
      <c r="D385" s="10" t="str">
        <f t="shared" si="6"/>
        <v>('Tax Transcript ORDER (3Y)',null,null,null),</v>
      </c>
    </row>
    <row r="386" spans="1:4" x14ac:dyDescent="0.35">
      <c r="A386" t="s">
        <v>150</v>
      </c>
      <c r="C386" s="10" t="s">
        <v>150</v>
      </c>
      <c r="D386" s="10" t="str">
        <f t="shared" si="6"/>
        <v>('THIRD PARTY AUTOMATED VOE FEE',null,null,null),</v>
      </c>
    </row>
    <row r="387" spans="1:4" x14ac:dyDescent="0.35">
      <c r="C387" s="10" t="s">
        <v>1087</v>
      </c>
      <c r="D387" s="10" t="str">
        <f t="shared" si="6"/>
        <v>('THIRD PARTY VENDOR',null,null,null),</v>
      </c>
    </row>
    <row r="388" spans="1:4" x14ac:dyDescent="0.35">
      <c r="A388" t="s">
        <v>330</v>
      </c>
      <c r="C388" s="10" t="s">
        <v>330</v>
      </c>
      <c r="D388" s="10" t="str">
        <f t="shared" ref="D388:D444" si="7">_xlfn.TEXTJOIN("",FALSE,"('",TRIM(C388),"',null,null,null),")</f>
        <v>('TOTALCOST',null,null,null),</v>
      </c>
    </row>
    <row r="389" spans="1:4" x14ac:dyDescent="0.35">
      <c r="A389" t="s">
        <v>103</v>
      </c>
      <c r="C389" s="10" t="s">
        <v>103</v>
      </c>
      <c r="D389" s="10" t="str">
        <f t="shared" si="7"/>
        <v>('TRACEPLUS',null,null,null),</v>
      </c>
    </row>
    <row r="390" spans="1:4" x14ac:dyDescent="0.35">
      <c r="A390" t="s">
        <v>222</v>
      </c>
      <c r="C390" s="10" t="s">
        <v>222</v>
      </c>
      <c r="D390" s="10" t="str">
        <f t="shared" si="7"/>
        <v>('TRADE UPDATE',null,null,null),</v>
      </c>
    </row>
    <row r="391" spans="1:4" x14ac:dyDescent="0.35">
      <c r="A391" t="s">
        <v>248</v>
      </c>
      <c r="C391" s="10" t="s">
        <v>248</v>
      </c>
      <c r="D391" s="10" t="str">
        <f t="shared" si="7"/>
        <v>('TRADE UPDATE (1)',null,null,null),</v>
      </c>
    </row>
    <row r="392" spans="1:4" x14ac:dyDescent="0.35">
      <c r="A392" t="s">
        <v>51</v>
      </c>
      <c r="C392" s="10" t="s">
        <v>51</v>
      </c>
      <c r="D392" s="10" t="str">
        <f t="shared" si="7"/>
        <v>('TRADE UPDATE (1-4)',null,null,null),</v>
      </c>
    </row>
    <row r="393" spans="1:4" x14ac:dyDescent="0.35">
      <c r="A393" t="s">
        <v>213</v>
      </c>
      <c r="C393" s="10" t="s">
        <v>213</v>
      </c>
      <c r="D393" s="10" t="str">
        <f t="shared" si="7"/>
        <v>('TRADE UPDATE (1-5)',null,null,null),</v>
      </c>
    </row>
    <row r="394" spans="1:4" x14ac:dyDescent="0.35">
      <c r="A394" t="s">
        <v>335</v>
      </c>
      <c r="C394" s="10" t="s">
        <v>335</v>
      </c>
      <c r="D394" s="10" t="str">
        <f t="shared" si="7"/>
        <v>('TRADE UPDATE (2)',null,null,null),</v>
      </c>
    </row>
    <row r="395" spans="1:4" x14ac:dyDescent="0.35">
      <c r="A395" t="s">
        <v>337</v>
      </c>
      <c r="C395" s="10" t="s">
        <v>337</v>
      </c>
      <c r="D395" s="10" t="str">
        <f t="shared" si="7"/>
        <v>('TRADE UPDATE (3)',null,null,null),</v>
      </c>
    </row>
    <row r="396" spans="1:4" x14ac:dyDescent="0.35">
      <c r="A396" t="s">
        <v>18</v>
      </c>
      <c r="C396" s="10" t="s">
        <v>18</v>
      </c>
      <c r="D396" s="10" t="str">
        <f t="shared" si="7"/>
        <v>('TRADE UPDATE (4)',null,null,null),</v>
      </c>
    </row>
    <row r="397" spans="1:4" x14ac:dyDescent="0.35">
      <c r="A397" t="s">
        <v>146</v>
      </c>
      <c r="C397" s="10" t="s">
        <v>146</v>
      </c>
      <c r="D397" s="10" t="str">
        <f t="shared" si="7"/>
        <v>('TRADE UPDATE (5)',null,null,null),</v>
      </c>
    </row>
    <row r="398" spans="1:4" x14ac:dyDescent="0.35">
      <c r="A398" t="s">
        <v>274</v>
      </c>
      <c r="C398" s="10" t="s">
        <v>274</v>
      </c>
      <c r="D398" s="10" t="str">
        <f t="shared" si="7"/>
        <v>('TRADE UPDATE (5+)',null,null,null),</v>
      </c>
    </row>
    <row r="399" spans="1:4" x14ac:dyDescent="0.35">
      <c r="A399" t="s">
        <v>147</v>
      </c>
      <c r="C399" s="10" t="s">
        <v>147</v>
      </c>
      <c r="D399" s="10" t="str">
        <f t="shared" si="7"/>
        <v>('TRADE UPDATE (6+)',null,null,null),</v>
      </c>
    </row>
    <row r="400" spans="1:4" x14ac:dyDescent="0.35">
      <c r="A400" t="s">
        <v>107</v>
      </c>
      <c r="C400" s="10" t="s">
        <v>107</v>
      </c>
      <c r="D400" s="10" t="str">
        <f t="shared" si="7"/>
        <v>('TRADE UPDATE INCLUDING VOM (1-3)',null,null,null),</v>
      </c>
    </row>
    <row r="401" spans="1:4" x14ac:dyDescent="0.35">
      <c r="A401" t="s">
        <v>111</v>
      </c>
      <c r="C401" s="10" t="s">
        <v>111</v>
      </c>
      <c r="D401" s="10" t="str">
        <f t="shared" si="7"/>
        <v>('TRADE UPDATE INCLUDING VOM (4 OR MORE)',null,null,null),</v>
      </c>
    </row>
    <row r="402" spans="1:4" x14ac:dyDescent="0.35">
      <c r="A402" t="s">
        <v>98</v>
      </c>
      <c r="C402" s="10" t="s">
        <v>98</v>
      </c>
      <c r="D402" s="10" t="str">
        <f t="shared" si="7"/>
        <v>('TUC',null,null,null),</v>
      </c>
    </row>
    <row r="403" spans="1:4" x14ac:dyDescent="0.35">
      <c r="A403" t="s">
        <v>166</v>
      </c>
      <c r="C403" s="10" t="s">
        <v>166</v>
      </c>
      <c r="D403" s="10" t="str">
        <f t="shared" si="7"/>
        <v>('TUC/JNT',null,null,null),</v>
      </c>
    </row>
    <row r="404" spans="1:4" x14ac:dyDescent="0.35">
      <c r="A404" t="s">
        <v>258</v>
      </c>
      <c r="C404" s="10" t="s">
        <v>240</v>
      </c>
      <c r="D404" s="10" t="str">
        <f t="shared" si="7"/>
        <v>('TUC-SOFT',null,null,null),</v>
      </c>
    </row>
    <row r="405" spans="1:4" x14ac:dyDescent="0.35">
      <c r="A405" t="s">
        <v>240</v>
      </c>
      <c r="C405" s="10" t="s">
        <v>258</v>
      </c>
      <c r="D405" s="10" t="str">
        <f t="shared" si="7"/>
        <v>('TUC/JNT-SOFT',null,null,null),</v>
      </c>
    </row>
    <row r="406" spans="1:4" x14ac:dyDescent="0.35">
      <c r="A406" t="s">
        <v>133</v>
      </c>
      <c r="C406" s="10" t="s">
        <v>133</v>
      </c>
      <c r="D406" s="10" t="str">
        <f t="shared" si="7"/>
        <v>('TWN TRANSACTIONAL FEE',null,null,null),</v>
      </c>
    </row>
    <row r="407" spans="1:4" x14ac:dyDescent="0.35">
      <c r="A407" t="s">
        <v>257</v>
      </c>
      <c r="C407" s="10" t="s">
        <v>257</v>
      </c>
      <c r="D407" s="10" t="str">
        <f t="shared" si="7"/>
        <v>('UDN-ADD1BI',null,null,null),</v>
      </c>
    </row>
    <row r="408" spans="1:4" x14ac:dyDescent="0.35">
      <c r="A408" t="s">
        <v>352</v>
      </c>
      <c r="C408" s="11" t="s">
        <v>352</v>
      </c>
      <c r="D408" s="10" t="str">
        <f t="shared" si="7"/>
        <v>('UDN-ADD1BJ',null,null,null),</v>
      </c>
    </row>
    <row r="409" spans="1:4" x14ac:dyDescent="0.35">
      <c r="A409" t="s">
        <v>246</v>
      </c>
      <c r="C409" s="10" t="s">
        <v>246</v>
      </c>
      <c r="D409" s="10" t="str">
        <f t="shared" si="7"/>
        <v>('UDN-ADD2BI',null,null,null),</v>
      </c>
    </row>
    <row r="410" spans="1:4" x14ac:dyDescent="0.35">
      <c r="A410" t="s">
        <v>351</v>
      </c>
      <c r="C410" t="s">
        <v>351</v>
      </c>
      <c r="D410" s="10" t="str">
        <f t="shared" si="7"/>
        <v>('UDN-ADD2BJ',null,null,null),</v>
      </c>
    </row>
    <row r="411" spans="1:4" x14ac:dyDescent="0.35">
      <c r="A411" t="s">
        <v>123</v>
      </c>
      <c r="C411" s="10" t="s">
        <v>123</v>
      </c>
      <c r="D411" s="10" t="str">
        <f t="shared" si="7"/>
        <v>('UDN-ADDCOB',null,null,null),</v>
      </c>
    </row>
    <row r="412" spans="1:4" x14ac:dyDescent="0.35">
      <c r="A412" t="s">
        <v>13</v>
      </c>
      <c r="C412" s="10" t="s">
        <v>13</v>
      </c>
      <c r="D412" s="10" t="str">
        <f t="shared" si="7"/>
        <v>('UDN-EQF',null,null,null),</v>
      </c>
    </row>
    <row r="413" spans="1:4" x14ac:dyDescent="0.35">
      <c r="A413" t="s">
        <v>255</v>
      </c>
      <c r="C413" s="10" t="s">
        <v>255</v>
      </c>
      <c r="D413" s="10" t="str">
        <f t="shared" si="7"/>
        <v>('UDN-EQF/JNT',null,null,null),</v>
      </c>
    </row>
    <row r="414" spans="1:4" x14ac:dyDescent="0.35">
      <c r="A414" t="s">
        <v>173</v>
      </c>
      <c r="C414" s="10" t="s">
        <v>173</v>
      </c>
      <c r="D414" s="10" t="str">
        <f t="shared" si="7"/>
        <v>('UDN-EQF/TUC',null,null,null),</v>
      </c>
    </row>
    <row r="415" spans="1:4" x14ac:dyDescent="0.35">
      <c r="A415" t="s">
        <v>200</v>
      </c>
      <c r="C415" s="10" t="s">
        <v>200</v>
      </c>
      <c r="D415" s="10" t="str">
        <f t="shared" si="7"/>
        <v>('UDN-EQF/TUC/JNT',null,null,null),</v>
      </c>
    </row>
    <row r="416" spans="1:4" x14ac:dyDescent="0.35">
      <c r="A416" t="s">
        <v>125</v>
      </c>
      <c r="C416" s="10" t="s">
        <v>125</v>
      </c>
      <c r="D416" s="10" t="str">
        <f t="shared" si="7"/>
        <v>('UDN-EXP',null,null,null),</v>
      </c>
    </row>
    <row r="417" spans="1:4" x14ac:dyDescent="0.35">
      <c r="A417" t="s">
        <v>96</v>
      </c>
      <c r="C417" s="11" t="s">
        <v>96</v>
      </c>
      <c r="D417" s="10" t="str">
        <f t="shared" si="7"/>
        <v>('UDN-EXP/EQF',null,null,null),</v>
      </c>
    </row>
    <row r="418" spans="1:4" x14ac:dyDescent="0.35">
      <c r="A418" t="s">
        <v>160</v>
      </c>
      <c r="C418" s="11" t="s">
        <v>160</v>
      </c>
      <c r="D418" s="10" t="str">
        <f t="shared" si="7"/>
        <v>('UDN-EXP/EQF/JNT',null,null,null),</v>
      </c>
    </row>
    <row r="419" spans="1:4" x14ac:dyDescent="0.35">
      <c r="A419" t="s">
        <v>197</v>
      </c>
      <c r="C419" s="10" t="s">
        <v>197</v>
      </c>
      <c r="D419" s="10" t="str">
        <f t="shared" si="7"/>
        <v>('UDN-EXP/EQF/TUC',null,null,null),</v>
      </c>
    </row>
    <row r="420" spans="1:4" x14ac:dyDescent="0.35">
      <c r="A420" t="s">
        <v>12</v>
      </c>
      <c r="C420" s="10" t="s">
        <v>12</v>
      </c>
      <c r="D420" s="10" t="str">
        <f t="shared" si="7"/>
        <v>('UDN-EXP/EQF/TUC/JNT',null,null,null),</v>
      </c>
    </row>
    <row r="421" spans="1:4" x14ac:dyDescent="0.35">
      <c r="A421" t="s">
        <v>16</v>
      </c>
      <c r="C421" s="10" t="s">
        <v>16</v>
      </c>
      <c r="D421" s="10" t="str">
        <f t="shared" si="7"/>
        <v>('UDN-EXP/JNT',null,null,null),</v>
      </c>
    </row>
    <row r="422" spans="1:4" x14ac:dyDescent="0.35">
      <c r="A422" t="s">
        <v>181</v>
      </c>
      <c r="C422" s="10" t="s">
        <v>181</v>
      </c>
      <c r="D422" s="10" t="str">
        <f t="shared" si="7"/>
        <v>('UDN-EXP/TUC',null,null,null),</v>
      </c>
    </row>
    <row r="423" spans="1:4" x14ac:dyDescent="0.35">
      <c r="A423" t="s">
        <v>314</v>
      </c>
      <c r="C423" s="10" t="s">
        <v>314</v>
      </c>
      <c r="D423" s="10" t="str">
        <f t="shared" si="7"/>
        <v>('UDN-TUC',null,null,null),</v>
      </c>
    </row>
    <row r="424" spans="1:4" x14ac:dyDescent="0.35">
      <c r="A424" t="s">
        <v>105</v>
      </c>
      <c r="C424" s="10" t="s">
        <v>105</v>
      </c>
      <c r="D424" s="10" t="str">
        <f t="shared" si="7"/>
        <v>('UDN-TUC/JNT',null,null,null),</v>
      </c>
    </row>
    <row r="425" spans="1:4" x14ac:dyDescent="0.35">
      <c r="A425" t="s">
        <v>24</v>
      </c>
      <c r="C425" s="10" t="s">
        <v>24</v>
      </c>
      <c r="D425" s="10" t="str">
        <f t="shared" si="7"/>
        <v>('UNDETERMINED',null,null,null),</v>
      </c>
    </row>
    <row r="426" spans="1:4" x14ac:dyDescent="0.35">
      <c r="A426" t="s">
        <v>164</v>
      </c>
      <c r="C426" s="11" t="s">
        <v>164</v>
      </c>
      <c r="D426" s="10" t="str">
        <f t="shared" si="7"/>
        <v>('UNDORMCR',null,null,null),</v>
      </c>
    </row>
    <row r="427" spans="1:4" x14ac:dyDescent="0.35">
      <c r="A427" t="s">
        <v>52</v>
      </c>
      <c r="C427" s="10" t="s">
        <v>52</v>
      </c>
      <c r="D427" s="10" t="str">
        <f t="shared" si="7"/>
        <v>('UNMERGE FEE',null,null,null),</v>
      </c>
    </row>
    <row r="428" spans="1:4" x14ac:dyDescent="0.35">
      <c r="A428" t="s">
        <v>234</v>
      </c>
      <c r="C428" s="10" t="s">
        <v>234</v>
      </c>
      <c r="D428" s="10" t="str">
        <f t="shared" si="7"/>
        <v>('UNMERGE REPORT',null,null,null),</v>
      </c>
    </row>
    <row r="429" spans="1:4" x14ac:dyDescent="0.35">
      <c r="A429" t="s">
        <v>228</v>
      </c>
      <c r="C429" s="10" t="s">
        <v>228</v>
      </c>
      <c r="D429" s="10" t="str">
        <f t="shared" si="7"/>
        <v>('UNMERGED REPORT',null,null,null),</v>
      </c>
    </row>
    <row r="430" spans="1:4" x14ac:dyDescent="0.35">
      <c r="C430" s="10" t="s">
        <v>1088</v>
      </c>
      <c r="D430" s="10" t="str">
        <f t="shared" si="7"/>
        <v>('UPDATED PUBLIC RECORDS',null,null,null),</v>
      </c>
    </row>
    <row r="431" spans="1:4" x14ac:dyDescent="0.35">
      <c r="A431" t="s">
        <v>49</v>
      </c>
      <c r="C431" s="11" t="s">
        <v>49</v>
      </c>
      <c r="D431" s="10" t="str">
        <f t="shared" si="7"/>
        <v>('UPATED PUBLIC RECORDS (1)',null,null,null),</v>
      </c>
    </row>
    <row r="432" spans="1:4" x14ac:dyDescent="0.35">
      <c r="A432" t="s">
        <v>75</v>
      </c>
      <c r="C432" s="10" t="s">
        <v>75</v>
      </c>
      <c r="D432" s="10" t="str">
        <f t="shared" si="7"/>
        <v>('UPDATED PUBLIC RECORDS (1)',null,null,null),</v>
      </c>
    </row>
    <row r="433" spans="1:4" x14ac:dyDescent="0.35">
      <c r="A433" t="s">
        <v>316</v>
      </c>
      <c r="C433" s="10" t="s">
        <v>316</v>
      </c>
      <c r="D433" s="10" t="str">
        <f t="shared" si="7"/>
        <v>('UPDATED PUBLIC RECORDS (2)',null,null,null),</v>
      </c>
    </row>
    <row r="434" spans="1:4" x14ac:dyDescent="0.35">
      <c r="A434" t="s">
        <v>171</v>
      </c>
      <c r="C434" s="10" t="s">
        <v>171</v>
      </c>
      <c r="D434" s="10" t="str">
        <f t="shared" si="7"/>
        <v>('UPDATED PUBLIC RECORDS (3)',null,null,null),</v>
      </c>
    </row>
    <row r="435" spans="1:4" x14ac:dyDescent="0.35">
      <c r="A435" t="s">
        <v>83</v>
      </c>
      <c r="C435" s="11" t="s">
        <v>83</v>
      </c>
      <c r="D435" s="10" t="str">
        <f t="shared" si="7"/>
        <v>('UPDATED TRADE (1)',null,null,null),</v>
      </c>
    </row>
    <row r="436" spans="1:4" x14ac:dyDescent="0.35">
      <c r="A436" t="s">
        <v>140</v>
      </c>
      <c r="C436" s="10" t="s">
        <v>140</v>
      </c>
      <c r="D436" s="10" t="str">
        <f t="shared" si="7"/>
        <v>('UPGRADE COPY',null,null,null),</v>
      </c>
    </row>
    <row r="437" spans="1:4" x14ac:dyDescent="0.35">
      <c r="A437" t="s">
        <v>277</v>
      </c>
      <c r="C437" s="11" t="s">
        <v>277</v>
      </c>
      <c r="D437" s="10" t="str">
        <f t="shared" si="7"/>
        <v>('VERIFICATION OF MORTGAGE RATING',null,null,null),</v>
      </c>
    </row>
    <row r="438" spans="1:4" x14ac:dyDescent="0.35">
      <c r="A438" t="s">
        <v>247</v>
      </c>
      <c r="C438" s="10" t="s">
        <v>247</v>
      </c>
      <c r="D438" s="10" t="str">
        <f t="shared" si="7"/>
        <v>('VERIFICATION OF EMPLOYMENT',null,null,null),</v>
      </c>
    </row>
    <row r="439" spans="1:4" x14ac:dyDescent="0.35">
      <c r="A439" t="s">
        <v>304</v>
      </c>
      <c r="C439" s="10" t="s">
        <v>304</v>
      </c>
      <c r="D439" s="10" t="str">
        <f t="shared" si="7"/>
        <v>('VERIFICATION OF MORTGAGE',null,null,null),</v>
      </c>
    </row>
    <row r="440" spans="1:4" x14ac:dyDescent="0.35">
      <c r="C440" s="10" t="s">
        <v>1089</v>
      </c>
      <c r="D440" s="10" t="str">
        <f t="shared" si="7"/>
        <v>('VERIFICATION OF RENT',null,null,null),</v>
      </c>
    </row>
    <row r="441" spans="1:4" x14ac:dyDescent="0.35">
      <c r="A441" t="s">
        <v>186</v>
      </c>
      <c r="C441" s="11" t="s">
        <v>186</v>
      </c>
      <c r="D441" s="10" t="str">
        <f t="shared" si="7"/>
        <v>('VOE Reissue',null,null,null),</v>
      </c>
    </row>
    <row r="442" spans="1:4" x14ac:dyDescent="0.35">
      <c r="A442" t="s">
        <v>306</v>
      </c>
      <c r="C442" s="10" t="s">
        <v>306</v>
      </c>
      <c r="D442" s="10" t="str">
        <f t="shared" si="7"/>
        <v>('WAYFINDER-B',null,null,null),</v>
      </c>
    </row>
    <row r="443" spans="1:4" x14ac:dyDescent="0.35">
      <c r="A443" t="s">
        <v>32</v>
      </c>
      <c r="C443" s="10" t="s">
        <v>32</v>
      </c>
      <c r="D443" s="10" t="str">
        <f t="shared" si="7"/>
        <v>('WAYFINDER-C',null,null,null),</v>
      </c>
    </row>
    <row r="444" spans="1:4" x14ac:dyDescent="0.35">
      <c r="A444" t="s">
        <v>31</v>
      </c>
      <c r="C444" s="10" t="s">
        <v>31</v>
      </c>
      <c r="D444" s="10" t="str">
        <f t="shared" si="7"/>
        <v>('WHAT-IF',null,null,null),</v>
      </c>
    </row>
  </sheetData>
  <sortState xmlns:xlrd2="http://schemas.microsoft.com/office/spreadsheetml/2017/richdata2" ref="A2:A453">
    <sortCondition ref="A10:A45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5644-B3DE-48CD-A8B9-A939A9F9EAD3}">
  <dimension ref="A1:G10"/>
  <sheetViews>
    <sheetView workbookViewId="0">
      <selection activeCell="A13" sqref="A13"/>
    </sheetView>
  </sheetViews>
  <sheetFormatPr defaultRowHeight="14.5" x14ac:dyDescent="0.35"/>
  <cols>
    <col min="1" max="1" width="53.7265625" customWidth="1"/>
    <col min="3" max="3" width="47.7265625" customWidth="1"/>
    <col min="5" max="5" width="134" customWidth="1"/>
    <col min="7" max="7" width="64" customWidth="1"/>
  </cols>
  <sheetData>
    <row r="1" spans="1:7" x14ac:dyDescent="0.35">
      <c r="A1" t="s">
        <v>279</v>
      </c>
      <c r="C1" t="str">
        <f>_xlfn.TEXTJOIN("",FALSE,"""",TRIM(A1),""",")</f>
        <v>"ACQUISITION ALERTS - MORTGAGE INQUIRIES",</v>
      </c>
      <c r="E1" t="str">
        <f>_xlfn.TEXTJOIN("",FALSE,"update dbo.MCLProductCodes set ProductType='Cascade Alerts' where ProductCode='",TRIM(A1),"'")</f>
        <v>update dbo.MCLProductCodes set ProductType='Cascade Alerts' where ProductCode='ACQUISITION ALERTS - MORTGAGE INQUIRIES'</v>
      </c>
      <c r="G1" t="str">
        <f>_xlfn.TEXTJOIN("",FALSE,"ProductCode='",TRIM(A1),"' or ")</f>
        <v xml:space="preserve">ProductCode='ACQUISITION ALERTS - MORTGAGE INQUIRIES' or </v>
      </c>
    </row>
    <row r="2" spans="1:7" x14ac:dyDescent="0.35">
      <c r="A2" t="s">
        <v>1000</v>
      </c>
      <c r="C2" t="str">
        <f>_xlfn.TEXTJOIN("",FALSE,"""",TRIM(A2),""",")</f>
        <v>"CASCADE ALERTS - MORTGAGE INQUIRIES",</v>
      </c>
      <c r="E2" t="str">
        <f t="shared" ref="E2:E10" si="0">_xlfn.TEXTJOIN("",FALSE,"update dbo.MCLProductCodes set ProductType='Cascade Alerts' where ProductCode='",TRIM(A2),"'")</f>
        <v>update dbo.MCLProductCodes set ProductType='Cascade Alerts' where ProductCode='CASCADE ALERTS - MORTGAGE INQUIRIES'</v>
      </c>
      <c r="G2" t="str">
        <f t="shared" ref="G2:G7" si="1">_xlfn.TEXTJOIN("",FALSE,"ProductCode='",TRIM(A2),"' or ")</f>
        <v xml:space="preserve">ProductCode='CASCADE ALERTS - MORTGAGE INQUIRIES' or </v>
      </c>
    </row>
    <row r="3" spans="1:7" x14ac:dyDescent="0.35">
      <c r="A3" t="s">
        <v>28</v>
      </c>
      <c r="C3" t="str">
        <f t="shared" ref="C3:C8" si="2">_xlfn.TEXTJOIN("",FALSE,"""",TRIM(A3),""",")</f>
        <v>"CASCADE ALERTS STANDARD",</v>
      </c>
      <c r="E3" t="str">
        <f t="shared" si="0"/>
        <v>update dbo.MCLProductCodes set ProductType='Cascade Alerts' where ProductCode='CASCADE ALERTS STANDARD'</v>
      </c>
      <c r="G3" t="str">
        <f t="shared" si="1"/>
        <v xml:space="preserve">ProductCode='CASCADE ALERTS STANDARD' or </v>
      </c>
    </row>
    <row r="4" spans="1:7" x14ac:dyDescent="0.35">
      <c r="A4" t="s">
        <v>157</v>
      </c>
      <c r="C4" t="str">
        <f t="shared" si="2"/>
        <v>"CREDIT ATTRIBUTES",</v>
      </c>
      <c r="E4" t="str">
        <f t="shared" si="0"/>
        <v>update dbo.MCLProductCodes set ProductType='Cascade Alerts' where ProductCode='CREDIT ATTRIBUTES'</v>
      </c>
      <c r="G4" t="str">
        <f t="shared" si="1"/>
        <v xml:space="preserve">ProductCode='CREDIT ATTRIBUTES' or </v>
      </c>
    </row>
    <row r="5" spans="1:7" x14ac:dyDescent="0.35">
      <c r="A5" t="s">
        <v>339</v>
      </c>
      <c r="C5" t="str">
        <f t="shared" si="2"/>
        <v>"CREDIT MONITORING",</v>
      </c>
      <c r="E5" t="str">
        <f t="shared" si="0"/>
        <v>update dbo.MCLProductCodes set ProductType='Cascade Alerts' where ProductCode='CREDIT MONITORING'</v>
      </c>
      <c r="G5" t="str">
        <f t="shared" si="1"/>
        <v xml:space="preserve">ProductCode='CREDIT MONITORING' or </v>
      </c>
    </row>
    <row r="6" spans="1:7" x14ac:dyDescent="0.35">
      <c r="A6" t="s">
        <v>347</v>
      </c>
      <c r="C6" t="str">
        <f t="shared" si="2"/>
        <v>"Express Alert Program",</v>
      </c>
      <c r="E6" t="str">
        <f t="shared" si="0"/>
        <v>update dbo.MCLProductCodes set ProductType='Cascade Alerts' where ProductCode='Express Alert Program'</v>
      </c>
      <c r="G6" t="str">
        <f t="shared" si="1"/>
        <v xml:space="preserve">ProductCode='Express Alert Program' or </v>
      </c>
    </row>
    <row r="7" spans="1:7" x14ac:dyDescent="0.35">
      <c r="A7" t="s">
        <v>76</v>
      </c>
      <c r="C7" t="str">
        <f t="shared" si="2"/>
        <v>"MONTHLY MINIMUM",</v>
      </c>
      <c r="E7" t="str">
        <f t="shared" si="0"/>
        <v>update dbo.MCLProductCodes set ProductType='Cascade Alerts' where ProductCode='MONTHLY MINIMUM'</v>
      </c>
      <c r="G7" t="str">
        <f t="shared" si="1"/>
        <v xml:space="preserve">ProductCode='MONTHLY MINIMUM' or </v>
      </c>
    </row>
    <row r="8" spans="1:7" x14ac:dyDescent="0.35">
      <c r="A8" t="s">
        <v>204</v>
      </c>
      <c r="C8" t="str">
        <f t="shared" si="2"/>
        <v>"PORTFOLIO REFRESH",</v>
      </c>
      <c r="E8" t="str">
        <f t="shared" si="0"/>
        <v>update dbo.MCLProductCodes set ProductType='Cascade Alerts' where ProductCode='PORTFOLIO REFRESH'</v>
      </c>
    </row>
    <row r="10" spans="1:7" x14ac:dyDescent="0.35">
      <c r="A10" t="s">
        <v>1101</v>
      </c>
      <c r="E10" t="str">
        <f t="shared" si="0"/>
        <v>update dbo.MCLProductCodes set ProductType='Cascade Alerts' where ProductCode='ATTRIBUTES PORTFOLIO'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813F-6137-46C9-AF38-F3A39913DCBA}">
  <dimension ref="A1:F7"/>
  <sheetViews>
    <sheetView workbookViewId="0">
      <selection activeCell="A15" sqref="A15"/>
    </sheetView>
  </sheetViews>
  <sheetFormatPr defaultRowHeight="14.5" x14ac:dyDescent="0.35"/>
  <cols>
    <col min="1" max="1" width="47.453125" customWidth="1"/>
    <col min="2" max="2" width="40.26953125" customWidth="1"/>
    <col min="4" max="4" width="32.26953125" customWidth="1"/>
    <col min="6" max="6" width="120" customWidth="1"/>
  </cols>
  <sheetData>
    <row r="1" spans="1:6" x14ac:dyDescent="0.35">
      <c r="A1" t="s">
        <v>116</v>
      </c>
      <c r="B1" t="s">
        <v>415</v>
      </c>
      <c r="D1" t="str">
        <f>_xlfn.TEXTJOIN("",FALSE,"""",TRIM(A1),""",")</f>
        <v>"PROPERTY_HISTORY",</v>
      </c>
      <c r="F1" t="str">
        <f>_xlfn.TEXTJOIN("",FALSE,"update dbo.MCLProductCodes set ProductType='Property' where ProductCode='",TRIM(A1),"'")</f>
        <v>update dbo.MCLProductCodes set ProductType='Property' where ProductCode='PROPERTY_HISTORY'</v>
      </c>
    </row>
    <row r="2" spans="1:6" x14ac:dyDescent="0.35">
      <c r="A2" s="13" t="s">
        <v>119</v>
      </c>
      <c r="B2" t="s">
        <v>414</v>
      </c>
      <c r="D2" t="str">
        <f t="shared" ref="D2:D7" si="0">_xlfn.TEXTJOIN("",FALSE,"""",TRIM(A2),""",")</f>
        <v>"CL_HVE",</v>
      </c>
      <c r="F2" t="str">
        <f t="shared" ref="F2:F7" si="1">_xlfn.TEXTJOIN("",FALSE,"update dbo.MCLProductCodes set ProductType='Property' where ProductCode='",TRIM(A2),"'")</f>
        <v>update dbo.MCLProductCodes set ProductType='Property' where ProductCode='CL_HVE'</v>
      </c>
    </row>
    <row r="3" spans="1:6" x14ac:dyDescent="0.35">
      <c r="A3" s="13" t="s">
        <v>256</v>
      </c>
      <c r="B3" t="s">
        <v>411</v>
      </c>
      <c r="D3" t="str">
        <f t="shared" si="0"/>
        <v>"PASS",</v>
      </c>
      <c r="F3" t="str">
        <f t="shared" si="1"/>
        <v>update dbo.MCLProductCodes set ProductType='Property' where ProductCode='PASS'</v>
      </c>
    </row>
    <row r="4" spans="1:6" x14ac:dyDescent="0.35">
      <c r="A4" s="13" t="s">
        <v>259</v>
      </c>
      <c r="D4" t="str">
        <f t="shared" si="0"/>
        <v>"Person and Property/B1P0",</v>
      </c>
      <c r="F4" t="str">
        <f t="shared" si="1"/>
        <v>update dbo.MCLProductCodes set ProductType='Property' where ProductCode='Person and Property/B1P0'</v>
      </c>
    </row>
    <row r="5" spans="1:6" x14ac:dyDescent="0.35">
      <c r="A5" s="14" t="s">
        <v>336</v>
      </c>
      <c r="D5" t="str">
        <f t="shared" si="0"/>
        <v>"POSTBACK:PERSON-PROPERTY-F145D",</v>
      </c>
      <c r="F5" t="str">
        <f t="shared" si="1"/>
        <v>update dbo.MCLProductCodes set ProductType='Property' where ProductCode='POSTBACK:PERSON-PROPERTY-F145D'</v>
      </c>
    </row>
    <row r="6" spans="1:6" x14ac:dyDescent="0.35">
      <c r="A6" s="13" t="s">
        <v>344</v>
      </c>
      <c r="D6" t="str">
        <f t="shared" si="0"/>
        <v>"SITEXPRO - PROPERTY DETAILS",</v>
      </c>
      <c r="F6" t="str">
        <f t="shared" si="1"/>
        <v>update dbo.MCLProductCodes set ProductType='Property' where ProductCode='SITEXPRO - PROPERTY DETAILS'</v>
      </c>
    </row>
    <row r="7" spans="1:6" x14ac:dyDescent="0.35">
      <c r="A7" s="14" t="s">
        <v>1165</v>
      </c>
      <c r="D7" t="str">
        <f t="shared" si="0"/>
        <v>"CL_GEOAVM",</v>
      </c>
      <c r="F7" t="str">
        <f t="shared" si="1"/>
        <v>update dbo.MCLProductCodes set ProductType='Property' where ProductCode='CL_GEOAVM'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2834-DE6C-4B2B-9791-60C7FC5098DA}">
  <dimension ref="A1:F5"/>
  <sheetViews>
    <sheetView workbookViewId="0">
      <selection sqref="A1:A5"/>
    </sheetView>
  </sheetViews>
  <sheetFormatPr defaultRowHeight="14.5" x14ac:dyDescent="0.35"/>
  <cols>
    <col min="1" max="1" width="27.54296875" customWidth="1"/>
    <col min="4" max="4" width="60.7265625" customWidth="1"/>
    <col min="6" max="6" width="132.1796875" customWidth="1"/>
  </cols>
  <sheetData>
    <row r="1" spans="1:6" x14ac:dyDescent="0.35">
      <c r="A1" s="13" t="s">
        <v>306</v>
      </c>
      <c r="D1" t="str">
        <f>_xlfn.TEXTJOIN("",FALSE,"""",TRIM(A1),""",")</f>
        <v>"WAYFINDER-B",</v>
      </c>
      <c r="F1" t="str">
        <f>_xlfn.TEXTJOIN("",FALSE,"update dbo.MCLProductCodes set ProductType='CreditXpert' where ProductCode='",TRIM(A1),"'")</f>
        <v>update dbo.MCLProductCodes set ProductType='CreditXpert' where ProductCode='WAYFINDER-B'</v>
      </c>
    </row>
    <row r="2" spans="1:6" x14ac:dyDescent="0.35">
      <c r="A2" s="13" t="s">
        <v>32</v>
      </c>
      <c r="D2" t="str">
        <f t="shared" ref="D2:D5" si="0">_xlfn.TEXTJOIN("",FALSE,"""",TRIM(A2),""",")</f>
        <v>"WAYFINDER-C",</v>
      </c>
      <c r="F2" t="str">
        <f t="shared" ref="F2:F5" si="1">_xlfn.TEXTJOIN("",FALSE,"update dbo.MCLProductCodes set ProductType='CreditXpert' where ProductCode='",TRIM(A2),"'")</f>
        <v>update dbo.MCLProductCodes set ProductType='CreditXpert' where ProductCode='WAYFINDER-C'</v>
      </c>
    </row>
    <row r="3" spans="1:6" x14ac:dyDescent="0.35">
      <c r="A3" s="13" t="s">
        <v>31</v>
      </c>
      <c r="D3" t="str">
        <f t="shared" si="0"/>
        <v>"WHAT-IF",</v>
      </c>
      <c r="F3" t="str">
        <f t="shared" si="1"/>
        <v>update dbo.MCLProductCodes set ProductType='CreditXpert' where ProductCode='WHAT-IF'</v>
      </c>
    </row>
    <row r="4" spans="1:6" x14ac:dyDescent="0.35">
      <c r="A4" s="13" t="s">
        <v>45</v>
      </c>
      <c r="D4" t="str">
        <f t="shared" si="0"/>
        <v>"CREDITANALYZER-B",</v>
      </c>
      <c r="F4" t="str">
        <f t="shared" si="1"/>
        <v>update dbo.MCLProductCodes set ProductType='CreditXpert' where ProductCode='CREDITANALYZER-B'</v>
      </c>
    </row>
    <row r="5" spans="1:6" x14ac:dyDescent="0.35">
      <c r="A5" s="13" t="s">
        <v>109</v>
      </c>
      <c r="D5" t="str">
        <f t="shared" si="0"/>
        <v>"CREDITANALYZER-C",</v>
      </c>
      <c r="F5" t="str">
        <f t="shared" si="1"/>
        <v>update dbo.MCLProductCodes set ProductType='CreditXpert' where ProductCode='CREDITANALYZER-C'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DC95-6C48-4DB9-AE3D-AF5289907CD8}">
  <dimension ref="A1:F12"/>
  <sheetViews>
    <sheetView workbookViewId="0">
      <selection activeCell="B18" sqref="B18"/>
    </sheetView>
  </sheetViews>
  <sheetFormatPr defaultRowHeight="14.5" x14ac:dyDescent="0.35"/>
  <cols>
    <col min="1" max="1" width="45.26953125" customWidth="1"/>
    <col min="2" max="2" width="26.7265625" customWidth="1"/>
    <col min="4" max="4" width="48.26953125" customWidth="1"/>
    <col min="6" max="6" width="123.1796875" customWidth="1"/>
  </cols>
  <sheetData>
    <row r="1" spans="1:6" x14ac:dyDescent="0.35">
      <c r="A1" s="14" t="s">
        <v>11</v>
      </c>
      <c r="D1" t="str">
        <f>_xlfn.TEXTJOIN("",FALSE,"""",TRIM(A1),""",")</f>
        <v>"FLOOD",</v>
      </c>
      <c r="F1" t="str">
        <f>_xlfn.TEXTJOIN("",FALSE,"update dbo.MCLProductCodes set ProductType='Flood' where ProductCode='",TRIM(A1),"'")</f>
        <v>update dbo.MCLProductCodes set ProductType='Flood' where ProductCode='FLOOD'</v>
      </c>
    </row>
    <row r="2" spans="1:6" x14ac:dyDescent="0.35">
      <c r="A2" s="14" t="s">
        <v>170</v>
      </c>
      <c r="D2" t="str">
        <f t="shared" ref="D2:D12" si="0">_xlfn.TEXTJOIN("",FALSE,"""",TRIM(A2),""",")</f>
        <v>"FLOOD REPORT",</v>
      </c>
      <c r="F2" t="str">
        <f t="shared" ref="F2:F12" si="1">_xlfn.TEXTJOIN("",FALSE,"update dbo.MCLProductCodes set ProductType='Flood' where ProductCode='",TRIM(A2),"'")</f>
        <v>update dbo.MCLProductCodes set ProductType='Flood' where ProductCode='FLOOD REPORT'</v>
      </c>
    </row>
    <row r="3" spans="1:6" x14ac:dyDescent="0.35">
      <c r="A3" s="13" t="s">
        <v>15</v>
      </c>
      <c r="D3" t="str">
        <f t="shared" si="0"/>
        <v>"FLOOD-HMDA",</v>
      </c>
      <c r="F3" t="str">
        <f t="shared" si="1"/>
        <v>update dbo.MCLProductCodes set ProductType='Flood' where ProductCode='FLOOD-HMDA'</v>
      </c>
    </row>
    <row r="4" spans="1:6" x14ac:dyDescent="0.35">
      <c r="A4" s="14" t="s">
        <v>211</v>
      </c>
      <c r="D4" t="str">
        <f t="shared" si="0"/>
        <v>"FLOOD-HMDA-LIFE",</v>
      </c>
      <c r="F4" t="str">
        <f t="shared" si="1"/>
        <v>update dbo.MCLProductCodes set ProductType='Flood' where ProductCode='FLOOD-HMDA-LIFE'</v>
      </c>
    </row>
    <row r="5" spans="1:6" x14ac:dyDescent="0.35">
      <c r="A5" s="13" t="s">
        <v>303</v>
      </c>
      <c r="D5" t="str">
        <f t="shared" si="0"/>
        <v>"FLOOD-HMDA-RUSH",</v>
      </c>
      <c r="F5" t="str">
        <f t="shared" si="1"/>
        <v>update dbo.MCLProductCodes set ProductType='Flood' where ProductCode='FLOOD-HMDA-RUSH'</v>
      </c>
    </row>
    <row r="6" spans="1:6" x14ac:dyDescent="0.35">
      <c r="A6" s="13" t="s">
        <v>17</v>
      </c>
      <c r="D6" t="str">
        <f t="shared" si="0"/>
        <v>"FLOOD-HMDA-RUSH-LIFE",</v>
      </c>
      <c r="F6" t="str">
        <f t="shared" si="1"/>
        <v>update dbo.MCLProductCodes set ProductType='Flood' where ProductCode='FLOOD-HMDA-RUSH-LIFE'</v>
      </c>
    </row>
    <row r="7" spans="1:6" x14ac:dyDescent="0.35">
      <c r="A7" s="14" t="s">
        <v>394</v>
      </c>
      <c r="B7" t="s">
        <v>395</v>
      </c>
      <c r="D7" t="str">
        <f t="shared" si="0"/>
        <v>"FLOOD-LIFE",</v>
      </c>
      <c r="F7" t="str">
        <f t="shared" si="1"/>
        <v>update dbo.MCLProductCodes set ProductType='Flood' where ProductCode='FLOOD-LIFE'</v>
      </c>
    </row>
    <row r="8" spans="1:6" x14ac:dyDescent="0.35">
      <c r="A8" s="13" t="s">
        <v>196</v>
      </c>
      <c r="D8" t="str">
        <f t="shared" si="0"/>
        <v>"FLOODLOL",</v>
      </c>
      <c r="F8" t="str">
        <f t="shared" si="1"/>
        <v>update dbo.MCLProductCodes set ProductType='Flood' where ProductCode='FLOODLOL'</v>
      </c>
    </row>
    <row r="9" spans="1:6" x14ac:dyDescent="0.35">
      <c r="A9" s="14" t="s">
        <v>148</v>
      </c>
      <c r="D9" t="str">
        <f t="shared" si="0"/>
        <v>"FLOODRECERT",</v>
      </c>
      <c r="F9" t="str">
        <f t="shared" si="1"/>
        <v>update dbo.MCLProductCodes set ProductType='Flood' where ProductCode='FLOODRECERT'</v>
      </c>
    </row>
    <row r="10" spans="1:6" x14ac:dyDescent="0.35">
      <c r="A10" s="13" t="s">
        <v>68</v>
      </c>
      <c r="D10" t="str">
        <f t="shared" si="0"/>
        <v>"FLOOD-RUSH",</v>
      </c>
      <c r="F10" t="str">
        <f t="shared" si="1"/>
        <v>update dbo.MCLProductCodes set ProductType='Flood' where ProductCode='FLOOD-RUSH'</v>
      </c>
    </row>
    <row r="11" spans="1:6" x14ac:dyDescent="0.35">
      <c r="A11" s="14" t="s">
        <v>260</v>
      </c>
      <c r="D11" t="str">
        <f t="shared" si="0"/>
        <v>"FLOOD-RUSH-LIFE",</v>
      </c>
      <c r="F11" t="str">
        <f t="shared" si="1"/>
        <v>update dbo.MCLProductCodes set ProductType='Flood' where ProductCode='FLOOD-RUSH-LIFE'</v>
      </c>
    </row>
    <row r="12" spans="1:6" x14ac:dyDescent="0.35">
      <c r="A12" s="14" t="s">
        <v>286</v>
      </c>
      <c r="D12" t="str">
        <f t="shared" si="0"/>
        <v>"FLOODXFER",</v>
      </c>
      <c r="F12" t="str">
        <f t="shared" si="1"/>
        <v>update dbo.MCLProductCodes set ProductType='Flood' where ProductCode='FLOODXFER'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B027-9526-479A-AE68-0AB9FABAEA09}">
  <dimension ref="A1:F37"/>
  <sheetViews>
    <sheetView workbookViewId="0">
      <selection activeCell="B23" sqref="B23"/>
    </sheetView>
  </sheetViews>
  <sheetFormatPr defaultRowHeight="14.5" x14ac:dyDescent="0.35"/>
  <cols>
    <col min="1" max="1" width="50.1796875" customWidth="1"/>
    <col min="2" max="2" width="67.1796875" customWidth="1"/>
    <col min="4" max="4" width="40.54296875" customWidth="1"/>
    <col min="6" max="6" width="112.81640625" customWidth="1"/>
  </cols>
  <sheetData>
    <row r="1" spans="1:6" x14ac:dyDescent="0.35">
      <c r="A1" s="14" t="s">
        <v>124</v>
      </c>
      <c r="D1" t="str">
        <f>_xlfn.TEXTJOIN("",FALSE,"""",TRIM(A1),""",")</f>
        <v>"POSTBACK:ADV-120 EXPERT-A106D",</v>
      </c>
      <c r="F1" t="str">
        <f>_xlfn.TEXTJOIN("",FALSE,"update dbo.MCLProductCodes set ProductType='Fraud' where ProductCode='",TRIM(A1),"'")</f>
        <v>update dbo.MCLProductCodes set ProductType='Fraud' where ProductCode='POSTBACK:ADV-120 EXPERT-A106D'</v>
      </c>
    </row>
    <row r="2" spans="1:6" x14ac:dyDescent="0.35">
      <c r="A2" s="14" t="s">
        <v>239</v>
      </c>
      <c r="D2" t="str">
        <f t="shared" ref="D2:D37" si="0">_xlfn.TEXTJOIN("",FALSE,"""",TRIM(A2),""",")</f>
        <v>"POSTBACK:ADV-120-A103D",</v>
      </c>
      <c r="F2" t="str">
        <f t="shared" ref="F2:F37" si="1">_xlfn.TEXTJOIN("",FALSE,"update dbo.MCLProductCodes set ProductType='Fraud' where ProductCode='",TRIM(A2),"'")</f>
        <v>update dbo.MCLProductCodes set ProductType='Fraud' where ProductCode='POSTBACK:ADV-120-A103D'</v>
      </c>
    </row>
    <row r="3" spans="1:6" x14ac:dyDescent="0.35">
      <c r="A3" s="13" t="s">
        <v>252</v>
      </c>
      <c r="D3" t="str">
        <f t="shared" si="0"/>
        <v>"POSTBACK:ADVCUSTOM1-A141D",</v>
      </c>
      <c r="F3" t="str">
        <f t="shared" si="1"/>
        <v>update dbo.MCLProductCodes set ProductType='Fraud' where ProductCode='POSTBACK:ADVCUSTOM1-A141D'</v>
      </c>
    </row>
    <row r="4" spans="1:6" x14ac:dyDescent="0.35">
      <c r="A4" s="13" t="s">
        <v>73</v>
      </c>
      <c r="D4" t="str">
        <f t="shared" si="0"/>
        <v>"POSTBACK:ADVCUSTOM2-A142D",</v>
      </c>
      <c r="F4" t="str">
        <f t="shared" si="1"/>
        <v>update dbo.MCLProductCodes set ProductType='Fraud' where ProductCode='POSTBACK:ADVCUSTOM2-A142D'</v>
      </c>
    </row>
    <row r="5" spans="1:6" x14ac:dyDescent="0.35">
      <c r="A5" s="13" t="s">
        <v>54</v>
      </c>
      <c r="D5" t="str">
        <f t="shared" si="0"/>
        <v>"POSTBACK:ADV-MFPRECONFIRM-A117D",</v>
      </c>
      <c r="F5" t="str">
        <f t="shared" si="1"/>
        <v>update dbo.MCLProductCodes set ProductType='Fraud' where ProductCode='POSTBACK:ADV-MFPRECONFIRM-A117D'</v>
      </c>
    </row>
    <row r="6" spans="1:6" x14ac:dyDescent="0.35">
      <c r="A6" s="13" t="s">
        <v>57</v>
      </c>
      <c r="D6" t="str">
        <f t="shared" si="0"/>
        <v>"POSTBACK:BDV-BANK ACCOUNT-V117D",</v>
      </c>
      <c r="F6" t="str">
        <f t="shared" si="1"/>
        <v>update dbo.MCLProductCodes set ProductType='Fraud' where ProductCode='POSTBACK:BDV-BANK ACCOUNT-V117D'</v>
      </c>
    </row>
    <row r="7" spans="1:6" x14ac:dyDescent="0.35">
      <c r="A7" s="13" t="s">
        <v>137</v>
      </c>
      <c r="D7" t="str">
        <f t="shared" si="0"/>
        <v>"POSTBACK:BDV-COMPANY C10-V111D",</v>
      </c>
      <c r="F7" t="str">
        <f t="shared" si="1"/>
        <v>update dbo.MCLProductCodes set ProductType='Fraud' where ProductCode='POSTBACK:BDV-COMPANY C10-V111D'</v>
      </c>
    </row>
    <row r="8" spans="1:6" x14ac:dyDescent="0.35">
      <c r="A8" s="13" t="s">
        <v>126</v>
      </c>
      <c r="D8" t="str">
        <f t="shared" si="0"/>
        <v>"POSTBACK:BDV-COMPANY C1-V118D",</v>
      </c>
      <c r="F8" t="str">
        <f t="shared" si="1"/>
        <v>update dbo.MCLProductCodes set ProductType='Fraud' where ProductCode='POSTBACK:BDV-COMPANY C1-V118D'</v>
      </c>
    </row>
    <row r="9" spans="1:6" x14ac:dyDescent="0.35">
      <c r="A9" s="13" t="s">
        <v>338</v>
      </c>
      <c r="D9" t="str">
        <f t="shared" si="0"/>
        <v>"POSTBACK:PARTICIPANT RPT-F114D",</v>
      </c>
      <c r="F9" t="str">
        <f t="shared" si="1"/>
        <v>update dbo.MCLProductCodes set ProductType='Fraud' where ProductCode='POSTBACK:PARTICIPANT RPT-F114D'</v>
      </c>
    </row>
    <row r="10" spans="1:6" x14ac:dyDescent="0.35">
      <c r="A10" s="14" t="s">
        <v>154</v>
      </c>
      <c r="D10" t="str">
        <f t="shared" si="0"/>
        <v>"POSTBACK:PERSON-BLJSUP-F191D",</v>
      </c>
      <c r="F10" t="str">
        <f t="shared" si="1"/>
        <v>update dbo.MCLProductCodes set ProductType='Fraud' where ProductCode='POSTBACK:PERSON-BLJSUP-F191D'</v>
      </c>
    </row>
    <row r="11" spans="1:6" x14ac:dyDescent="0.35">
      <c r="A11" s="14" t="s">
        <v>336</v>
      </c>
      <c r="D11" t="str">
        <f t="shared" si="0"/>
        <v>"POSTBACK:PERSON-PROPERTY-F145D",</v>
      </c>
      <c r="F11" t="str">
        <f t="shared" si="1"/>
        <v>update dbo.MCLProductCodes set ProductType='Fraud' where ProductCode='POSTBACK:PERSON-PROPERTY-F145D'</v>
      </c>
    </row>
    <row r="12" spans="1:6" x14ac:dyDescent="0.35">
      <c r="A12" s="14" t="s">
        <v>241</v>
      </c>
      <c r="D12" t="str">
        <f t="shared" si="0"/>
        <v>"POSTBACK:PERSON-SSN-89-ESIGN-F150D",</v>
      </c>
      <c r="F12" t="str">
        <f t="shared" si="1"/>
        <v>update dbo.MCLProductCodes set ProductType='Fraud' where ProductCode='POSTBACK:PERSON-SSN-89-ESIGN-F150D'</v>
      </c>
    </row>
    <row r="13" spans="1:6" x14ac:dyDescent="0.35">
      <c r="A13" s="13" t="s">
        <v>275</v>
      </c>
      <c r="D13" t="str">
        <f t="shared" si="0"/>
        <v>"POSTBACK:PERSON-SSNHIST-F118D",</v>
      </c>
      <c r="F13" t="str">
        <f t="shared" si="1"/>
        <v>update dbo.MCLProductCodes set ProductType='Fraud' where ProductCode='POSTBACK:PERSON-SSNHIST-F118D'</v>
      </c>
    </row>
    <row r="14" spans="1:6" x14ac:dyDescent="0.35">
      <c r="A14" s="13" t="s">
        <v>392</v>
      </c>
      <c r="B14" t="s">
        <v>393</v>
      </c>
      <c r="D14" t="str">
        <f t="shared" si="0"/>
        <v>"IDV",</v>
      </c>
      <c r="F14" t="str">
        <f t="shared" si="1"/>
        <v>update dbo.MCLProductCodes set ProductType='Fraud' where ProductCode='IDV'</v>
      </c>
    </row>
    <row r="15" spans="1:6" x14ac:dyDescent="0.35">
      <c r="A15" s="13" t="s">
        <v>43</v>
      </c>
      <c r="D15" t="str">
        <f t="shared" si="0"/>
        <v>"A - FBC FRAUD",</v>
      </c>
      <c r="F15" t="str">
        <f t="shared" si="1"/>
        <v>update dbo.MCLProductCodes set ProductType='Fraud' where ProductCode='A - FBC FRAUD'</v>
      </c>
    </row>
    <row r="16" spans="1:6" x14ac:dyDescent="0.35">
      <c r="A16" s="13" t="s">
        <v>91</v>
      </c>
      <c r="D16" t="str">
        <f t="shared" si="0"/>
        <v>"ADV REPORT",</v>
      </c>
      <c r="F16" t="str">
        <f t="shared" si="1"/>
        <v>update dbo.MCLProductCodes set ProductType='Fraud' where ProductCode='ADV REPORT'</v>
      </c>
    </row>
    <row r="17" spans="1:6" x14ac:dyDescent="0.35">
      <c r="A17" s="14" t="s">
        <v>311</v>
      </c>
      <c r="D17" t="str">
        <f t="shared" si="0"/>
        <v>"ADV120",</v>
      </c>
      <c r="F17" t="str">
        <f t="shared" si="1"/>
        <v>update dbo.MCLProductCodes set ProductType='Fraud' where ProductCode='ADV120'</v>
      </c>
    </row>
    <row r="18" spans="1:6" x14ac:dyDescent="0.35">
      <c r="A18" s="13" t="s">
        <v>152</v>
      </c>
      <c r="D18" t="str">
        <f t="shared" si="0"/>
        <v>"ADV120_EXPERT",</v>
      </c>
      <c r="F18" t="str">
        <f t="shared" si="1"/>
        <v>update dbo.MCLProductCodes set ProductType='Fraud' where ProductCode='ADV120_EXPERT'</v>
      </c>
    </row>
    <row r="19" spans="1:6" x14ac:dyDescent="0.35">
      <c r="A19" s="13" t="s">
        <v>203</v>
      </c>
      <c r="D19" t="str">
        <f t="shared" si="0"/>
        <v>"ADV130_EXPERT",</v>
      </c>
      <c r="F19" t="str">
        <f t="shared" si="1"/>
        <v>update dbo.MCLProductCodes set ProductType='Fraud' where ProductCode='ADV130_EXPERT'</v>
      </c>
    </row>
    <row r="20" spans="1:6" x14ac:dyDescent="0.35">
      <c r="A20" s="13" t="s">
        <v>276</v>
      </c>
      <c r="D20" t="str">
        <f t="shared" si="0"/>
        <v>"ADVCUSTOM_EXPERT",</v>
      </c>
      <c r="F20" t="str">
        <f t="shared" si="1"/>
        <v>update dbo.MCLProductCodes set ProductType='Fraud' where ProductCode='ADVCUSTOM_EXPERT'</v>
      </c>
    </row>
    <row r="21" spans="1:6" x14ac:dyDescent="0.35">
      <c r="A21" s="13" t="s">
        <v>29</v>
      </c>
      <c r="D21" t="str">
        <f t="shared" si="0"/>
        <v>"A-PLATINUM FRAUD",</v>
      </c>
      <c r="F21" t="str">
        <f t="shared" si="1"/>
        <v>update dbo.MCLProductCodes set ProductType='Fraud' where ProductCode='A-PLATINUM FRAUD'</v>
      </c>
    </row>
    <row r="22" spans="1:6" x14ac:dyDescent="0.35">
      <c r="A22" s="14" t="s">
        <v>289</v>
      </c>
      <c r="D22" t="str">
        <f t="shared" si="0"/>
        <v>"FLEXID",</v>
      </c>
      <c r="F22" t="str">
        <f t="shared" si="1"/>
        <v>update dbo.MCLProductCodes set ProductType='Fraud' where ProductCode='FLEXID'</v>
      </c>
    </row>
    <row r="23" spans="1:6" x14ac:dyDescent="0.35">
      <c r="A23" s="13" t="s">
        <v>291</v>
      </c>
      <c r="D23" t="str">
        <f t="shared" si="0"/>
        <v>"INSTANTID",</v>
      </c>
      <c r="F23" t="str">
        <f t="shared" si="1"/>
        <v>update dbo.MCLProductCodes set ProductType='Fraud' where ProductCode='INSTANTID'</v>
      </c>
    </row>
    <row r="24" spans="1:6" x14ac:dyDescent="0.35">
      <c r="A24" s="14" t="s">
        <v>35</v>
      </c>
      <c r="D24" t="str">
        <f t="shared" si="0"/>
        <v>"LIENS AND JUDGMENTS REPORT",</v>
      </c>
      <c r="F24" t="str">
        <f t="shared" si="1"/>
        <v>update dbo.MCLProductCodes set ProductType='Fraud' where ProductCode='LIENS AND JUDGMENTS REPORT'</v>
      </c>
    </row>
    <row r="25" spans="1:6" x14ac:dyDescent="0.35">
      <c r="A25" s="14" t="s">
        <v>53</v>
      </c>
      <c r="D25" t="str">
        <f t="shared" si="0"/>
        <v>"Liens and Judgments/B1P0",</v>
      </c>
      <c r="F25" t="str">
        <f t="shared" si="1"/>
        <v>update dbo.MCLProductCodes set ProductType='Fraud' where ProductCode='Liens and Judgments/B1P0'</v>
      </c>
    </row>
    <row r="26" spans="1:6" x14ac:dyDescent="0.35">
      <c r="A26" s="14" t="s">
        <v>272</v>
      </c>
      <c r="D26" t="str">
        <f t="shared" si="0"/>
        <v>"Liens and Judgments/B2P0",</v>
      </c>
      <c r="F26" t="str">
        <f t="shared" si="1"/>
        <v>update dbo.MCLProductCodes set ProductType='Fraud' where ProductCode='Liens and Judgments/B2P0'</v>
      </c>
    </row>
    <row r="27" spans="1:6" x14ac:dyDescent="0.35">
      <c r="A27" s="13" t="s">
        <v>302</v>
      </c>
      <c r="D27" t="str">
        <f t="shared" si="0"/>
        <v>"Liens and Judgments/B4P0",</v>
      </c>
      <c r="F27" t="str">
        <f t="shared" si="1"/>
        <v>update dbo.MCLProductCodes set ProductType='Fraud' where ProductCode='Liens and Judgments/B4P0'</v>
      </c>
    </row>
    <row r="28" spans="1:6" x14ac:dyDescent="0.35">
      <c r="A28" s="13" t="s">
        <v>259</v>
      </c>
      <c r="D28" t="str">
        <f t="shared" si="0"/>
        <v>"Person and Property/B1P0",</v>
      </c>
      <c r="F28" t="str">
        <f t="shared" si="1"/>
        <v>update dbo.MCLProductCodes set ProductType='Fraud' where ProductCode='Person and Property/B1P0'</v>
      </c>
    </row>
    <row r="29" spans="1:6" x14ac:dyDescent="0.35">
      <c r="A29" s="13" t="s">
        <v>280</v>
      </c>
      <c r="D29" t="str">
        <f t="shared" si="0"/>
        <v>"SITEXPRO - INVOLUNTARY LIENS",</v>
      </c>
      <c r="F29" t="str">
        <f t="shared" si="1"/>
        <v>update dbo.MCLProductCodes set ProductType='Fraud' where ProductCode='SITEXPRO - INVOLUNTARY LIENS'</v>
      </c>
    </row>
    <row r="30" spans="1:6" x14ac:dyDescent="0.35">
      <c r="A30" s="13" t="s">
        <v>344</v>
      </c>
      <c r="D30" t="str">
        <f t="shared" si="0"/>
        <v>"SITEXPRO - PROPERTY DETAILS",</v>
      </c>
      <c r="F30" t="str">
        <f t="shared" si="1"/>
        <v>update dbo.MCLProductCodes set ProductType='Fraud' where ProductCode='SITEXPRO - PROPERTY DETAILS'</v>
      </c>
    </row>
    <row r="31" spans="1:6" x14ac:dyDescent="0.35">
      <c r="A31" s="13" t="s">
        <v>114</v>
      </c>
      <c r="D31" t="str">
        <f t="shared" si="0"/>
        <v>"SITEXPRO - VOLUNTARY LIENS",</v>
      </c>
      <c r="F31" t="str">
        <f t="shared" si="1"/>
        <v>update dbo.MCLProductCodes set ProductType='Fraud' where ProductCode='SITEXPRO - VOLUNTARY LIENS'</v>
      </c>
    </row>
    <row r="32" spans="1:6" x14ac:dyDescent="0.35">
      <c r="A32" s="14" t="s">
        <v>103</v>
      </c>
      <c r="D32" t="str">
        <f t="shared" si="0"/>
        <v>"TRACEPLUS",</v>
      </c>
      <c r="F32" t="str">
        <f t="shared" si="1"/>
        <v>update dbo.MCLProductCodes set ProductType='Fraud' where ProductCode='TRACEPLUS'</v>
      </c>
    </row>
    <row r="33" spans="1:6" x14ac:dyDescent="0.35">
      <c r="A33" s="13" t="s">
        <v>243</v>
      </c>
      <c r="D33" t="str">
        <f t="shared" si="0"/>
        <v>"PARTICIPANT_IDV",</v>
      </c>
      <c r="F33" t="str">
        <f t="shared" si="1"/>
        <v>update dbo.MCLProductCodes set ProductType='Fraud' where ProductCode='PARTICIPANT_IDV'</v>
      </c>
    </row>
    <row r="34" spans="1:6" x14ac:dyDescent="0.35">
      <c r="A34" s="13" t="s">
        <v>179</v>
      </c>
      <c r="B34" t="s">
        <v>408</v>
      </c>
      <c r="D34" t="str">
        <f t="shared" si="0"/>
        <v>"A-MERS/ID INVEST/MPR",</v>
      </c>
      <c r="F34" t="str">
        <f t="shared" si="1"/>
        <v>update dbo.MCLProductCodes set ProductType='Fraud' where ProductCode='A-MERS/ID INVEST/MPR'</v>
      </c>
    </row>
    <row r="35" spans="1:6" x14ac:dyDescent="0.35">
      <c r="A35" s="13" t="s">
        <v>223</v>
      </c>
      <c r="B35" t="s">
        <v>407</v>
      </c>
      <c r="D35" t="str">
        <f t="shared" si="0"/>
        <v>"B-MERS/ID INVEST",</v>
      </c>
      <c r="F35" t="str">
        <f t="shared" si="1"/>
        <v>update dbo.MCLProductCodes set ProductType='Fraud' where ProductCode='B-MERS/ID INVEST'</v>
      </c>
    </row>
    <row r="36" spans="1:6" x14ac:dyDescent="0.35">
      <c r="A36" s="14" t="s">
        <v>122</v>
      </c>
      <c r="B36" t="s">
        <v>410</v>
      </c>
      <c r="D36" t="str">
        <f t="shared" si="0"/>
        <v>"DTEC",</v>
      </c>
      <c r="F36" t="str">
        <f t="shared" si="1"/>
        <v>update dbo.MCLProductCodes set ProductType='Fraud' where ProductCode='DTEC'</v>
      </c>
    </row>
    <row r="37" spans="1:6" x14ac:dyDescent="0.35">
      <c r="A37" s="13" t="s">
        <v>294</v>
      </c>
      <c r="D37" t="str">
        <f t="shared" si="0"/>
        <v>"EMPLOYER_IDV",</v>
      </c>
      <c r="F37" t="str">
        <f t="shared" si="1"/>
        <v>update dbo.MCLProductCodes set ProductType='Fraud' where ProductCode='EMPLOYER_IDV'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4D18-7F5D-410D-82D8-4AFF37C058F9}">
  <dimension ref="A1:F19"/>
  <sheetViews>
    <sheetView workbookViewId="0">
      <selection activeCell="A18" sqref="A18"/>
    </sheetView>
  </sheetViews>
  <sheetFormatPr defaultRowHeight="14.5" x14ac:dyDescent="0.35"/>
  <cols>
    <col min="1" max="1" width="45.54296875" customWidth="1"/>
    <col min="2" max="2" width="46.453125" customWidth="1"/>
    <col min="4" max="4" width="40.54296875" customWidth="1"/>
    <col min="6" max="6" width="131.81640625" customWidth="1"/>
  </cols>
  <sheetData>
    <row r="1" spans="1:6" x14ac:dyDescent="0.35">
      <c r="A1" s="13" t="s">
        <v>277</v>
      </c>
      <c r="D1" t="str">
        <f>_xlfn.TEXTJOIN("",FALSE,"""",TRIM(A1),""",")</f>
        <v>"VERIFICATION OF MORTGAGE RATING",</v>
      </c>
      <c r="F1" t="str">
        <f>_xlfn.TEXTJOIN("",FALSE,"update dbo.MCLProductCodes set ProductType='Other Verifications' where ProductCode='",TRIM(A1),"'")</f>
        <v>update dbo.MCLProductCodes set ProductType='Other Verifications' where ProductCode='VERIFICATION OF MORTGAGE RATING'</v>
      </c>
    </row>
    <row r="2" spans="1:6" x14ac:dyDescent="0.35">
      <c r="A2" s="14" t="s">
        <v>304</v>
      </c>
      <c r="D2" t="str">
        <f t="shared" ref="D2:D19" si="0">_xlfn.TEXTJOIN("",FALSE,"""",TRIM(A2),""",")</f>
        <v>"VERIFICATION OF MORTGAGE",</v>
      </c>
      <c r="F2" t="str">
        <f t="shared" ref="F2:F19" si="1">_xlfn.TEXTJOIN("",FALSE,"update dbo.MCLProductCodes set ProductType='Other Verifications' where ProductCode='",TRIM(A2),"'")</f>
        <v>update dbo.MCLProductCodes set ProductType='Other Verifications' where ProductCode='VERIFICATION OF MORTGAGE'</v>
      </c>
    </row>
    <row r="3" spans="1:6" x14ac:dyDescent="0.35">
      <c r="A3" s="14" t="s">
        <v>233</v>
      </c>
      <c r="D3" t="str">
        <f t="shared" si="0"/>
        <v>"RESIDENCY VERIFICATION",</v>
      </c>
      <c r="F3" t="str">
        <f t="shared" si="1"/>
        <v>update dbo.MCLProductCodes set ProductType='Other Verifications' where ProductCode='RESIDENCY VERIFICATION'</v>
      </c>
    </row>
    <row r="4" spans="1:6" x14ac:dyDescent="0.35">
      <c r="A4" s="14" t="s">
        <v>236</v>
      </c>
      <c r="D4" t="str">
        <f t="shared" si="0"/>
        <v>"ACCOUNTCHEK1",</v>
      </c>
      <c r="F4" t="str">
        <f t="shared" si="1"/>
        <v>update dbo.MCLProductCodes set ProductType='Other Verifications' where ProductCode='ACCOUNTCHEK1'</v>
      </c>
    </row>
    <row r="5" spans="1:6" x14ac:dyDescent="0.35">
      <c r="A5" s="14" t="s">
        <v>136</v>
      </c>
      <c r="D5" t="str">
        <f t="shared" si="0"/>
        <v>"ACCOUNTCHEK30",</v>
      </c>
      <c r="F5" t="str">
        <f t="shared" si="1"/>
        <v>update dbo.MCLProductCodes set ProductType='Other Verifications' where ProductCode='ACCOUNTCHEK30'</v>
      </c>
    </row>
    <row r="6" spans="1:6" x14ac:dyDescent="0.35">
      <c r="A6" s="14" t="s">
        <v>129</v>
      </c>
      <c r="D6" t="str">
        <f t="shared" si="0"/>
        <v>"ACCOUNTCHEK60",</v>
      </c>
      <c r="F6" t="str">
        <f t="shared" si="1"/>
        <v>update dbo.MCLProductCodes set ProductType='Other Verifications' where ProductCode='ACCOUNTCHEK60'</v>
      </c>
    </row>
    <row r="7" spans="1:6" x14ac:dyDescent="0.35">
      <c r="A7" s="14" t="s">
        <v>62</v>
      </c>
      <c r="D7" t="str">
        <f t="shared" si="0"/>
        <v>"ACCOUNTCHEK90",</v>
      </c>
      <c r="F7" t="str">
        <f t="shared" si="1"/>
        <v>update dbo.MCLProductCodes set ProductType='Other Verifications' where ProductCode='ACCOUNTCHEK90'</v>
      </c>
    </row>
    <row r="8" spans="1:6" x14ac:dyDescent="0.35">
      <c r="A8" s="13" t="s">
        <v>37</v>
      </c>
      <c r="D8" t="str">
        <f t="shared" si="0"/>
        <v>"ESIGNATURE",</v>
      </c>
      <c r="F8" t="str">
        <f t="shared" si="1"/>
        <v>update dbo.MCLProductCodes set ProductType='Other Verifications' where ProductCode='ESIGNATURE'</v>
      </c>
    </row>
    <row r="9" spans="1:6" x14ac:dyDescent="0.35">
      <c r="A9" s="13" t="s">
        <v>253</v>
      </c>
      <c r="D9" t="str">
        <f t="shared" si="0"/>
        <v>"FACTCheck",</v>
      </c>
      <c r="F9" t="str">
        <f t="shared" si="1"/>
        <v>update dbo.MCLProductCodes set ProductType='Other Verifications' where ProductCode='FACTCheck'</v>
      </c>
    </row>
    <row r="10" spans="1:6" x14ac:dyDescent="0.35">
      <c r="A10" s="13" t="s">
        <v>41</v>
      </c>
      <c r="D10" t="str">
        <f t="shared" si="0"/>
        <v>"FINICITY60",</v>
      </c>
      <c r="F10" t="str">
        <f t="shared" si="1"/>
        <v>update dbo.MCLProductCodes set ProductType='Other Verifications' where ProductCode='FINICITY60'</v>
      </c>
    </row>
    <row r="11" spans="1:6" x14ac:dyDescent="0.35">
      <c r="A11" s="14" t="s">
        <v>168</v>
      </c>
      <c r="D11" t="str">
        <f t="shared" si="0"/>
        <v>"INSPECTION FEE",</v>
      </c>
      <c r="F11" t="str">
        <f t="shared" si="1"/>
        <v>update dbo.MCLProductCodes set ProductType='Other Verifications' where ProductCode='INSPECTION FEE'</v>
      </c>
    </row>
    <row r="12" spans="1:6" x14ac:dyDescent="0.35">
      <c r="A12" s="13" t="s">
        <v>187</v>
      </c>
      <c r="D12" t="str">
        <f t="shared" si="0"/>
        <v>"MERS_LIEN",</v>
      </c>
      <c r="F12" t="str">
        <f t="shared" si="1"/>
        <v>update dbo.MCLProductCodes set ProductType='Other Verifications' where ProductCode='MERS_LIEN'</v>
      </c>
    </row>
    <row r="13" spans="1:6" x14ac:dyDescent="0.35">
      <c r="A13" s="13" t="s">
        <v>56</v>
      </c>
      <c r="D13" t="str">
        <f t="shared" si="0"/>
        <v>"--MISC--",</v>
      </c>
      <c r="F13" t="str">
        <f t="shared" si="1"/>
        <v>update dbo.MCLProductCodes set ProductType='Other Verifications' where ProductCode='--MISC--'</v>
      </c>
    </row>
    <row r="14" spans="1:6" x14ac:dyDescent="0.35">
      <c r="A14" s="13" t="s">
        <v>207</v>
      </c>
      <c r="B14" t="s">
        <v>413</v>
      </c>
      <c r="D14" t="str">
        <f t="shared" si="0"/>
        <v>"IBV REPORT",</v>
      </c>
      <c r="F14" t="str">
        <f t="shared" si="1"/>
        <v>update dbo.MCLProductCodes set ProductType='Other Verifications' where ProductCode='IBV REPORT'</v>
      </c>
    </row>
    <row r="15" spans="1:6" x14ac:dyDescent="0.35">
      <c r="A15" s="18" t="s">
        <v>1091</v>
      </c>
      <c r="D15" t="str">
        <f t="shared" si="0"/>
        <v>"''--MISC--",</v>
      </c>
      <c r="F15" t="str">
        <f t="shared" si="1"/>
        <v>update dbo.MCLProductCodes set ProductType='Other Verifications' where ProductCode='''--MISC--'</v>
      </c>
    </row>
    <row r="16" spans="1:6" x14ac:dyDescent="0.35">
      <c r="A16" s="13" t="s">
        <v>368</v>
      </c>
      <c r="D16" t="str">
        <f t="shared" si="0"/>
        <v>"MISC",</v>
      </c>
      <c r="F16" t="str">
        <f t="shared" si="1"/>
        <v>update dbo.MCLProductCodes set ProductType='Other Verifications' where ProductCode='MISC'</v>
      </c>
    </row>
    <row r="17" spans="1:6" x14ac:dyDescent="0.35">
      <c r="A17" s="14" t="s">
        <v>1168</v>
      </c>
      <c r="D17" t="str">
        <f t="shared" si="0"/>
        <v>"POSTBACK:PREAUTH",</v>
      </c>
      <c r="F17" t="str">
        <f t="shared" si="1"/>
        <v>update dbo.MCLProductCodes set ProductType='Other Verifications' where ProductCode='POSTBACK:PREAUTH'</v>
      </c>
    </row>
    <row r="18" spans="1:6" x14ac:dyDescent="0.35">
      <c r="A18" s="13" t="s">
        <v>1169</v>
      </c>
      <c r="D18" t="str">
        <f t="shared" si="0"/>
        <v>"UPDATED PUBLIC RECORDS",</v>
      </c>
      <c r="F18" t="str">
        <f t="shared" si="1"/>
        <v>update dbo.MCLProductCodes set ProductType='Other Verifications' where ProductCode='UPDATED PUBLIC RECORDS'</v>
      </c>
    </row>
    <row r="19" spans="1:6" x14ac:dyDescent="0.35">
      <c r="A19" s="14" t="s">
        <v>1170</v>
      </c>
      <c r="D19" t="str">
        <f t="shared" si="0"/>
        <v>"VERIFICATION OF RENT",</v>
      </c>
      <c r="F19" t="str">
        <f t="shared" si="1"/>
        <v>update dbo.MCLProductCodes set ProductType='Other Verifications' where ProductCode='VERIFICATION OF RENT'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3965-29D4-4573-B6FE-7E77964185AD}">
  <dimension ref="A1:E1"/>
  <sheetViews>
    <sheetView workbookViewId="0">
      <selection activeCell="C16" sqref="C16"/>
    </sheetView>
  </sheetViews>
  <sheetFormatPr defaultRowHeight="14.5" x14ac:dyDescent="0.35"/>
  <cols>
    <col min="1" max="1" width="33.26953125" customWidth="1"/>
    <col min="3" max="3" width="58" customWidth="1"/>
    <col min="5" max="5" width="160.26953125" customWidth="1"/>
  </cols>
  <sheetData>
    <row r="1" spans="1:5" x14ac:dyDescent="0.35">
      <c r="A1" s="14" t="s">
        <v>1004</v>
      </c>
      <c r="C1" t="str">
        <f>_xlfn.TEXTJOIN("",FALSE,"""",TRIM(A1),""",")</f>
        <v>"FICOSCOREMORTGAGESIMULATOR",</v>
      </c>
      <c r="E1" t="str">
        <f>_xlfn.TEXTJOIN("",FALSE,"update dbo.MCLProductCodes set ProductType='FICO' where ProductCode='",TRIM(A1),"'")</f>
        <v>update dbo.MCLProductCodes set ProductType='FICO' where ProductCode='FICOSCOREMORTGAGESIMULATOR'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8F5D-33FC-4C65-B386-76F36B7D3FB1}">
  <dimension ref="A1:F40"/>
  <sheetViews>
    <sheetView workbookViewId="0">
      <selection activeCell="C28" sqref="C28"/>
    </sheetView>
  </sheetViews>
  <sheetFormatPr defaultRowHeight="14.5" x14ac:dyDescent="0.35"/>
  <cols>
    <col min="1" max="1" width="37.453125" customWidth="1"/>
    <col min="6" max="6" width="127.54296875" customWidth="1"/>
  </cols>
  <sheetData>
    <row r="1" spans="1:6" x14ac:dyDescent="0.35">
      <c r="A1" s="15" t="s">
        <v>1023</v>
      </c>
      <c r="F1" t="str">
        <f>_xlfn.TEXTJOIN("",FALSE,"update dbo.MCLProductCodes set ProductType='Credit Reports',Group1='Integration Fee' where ProductCode='",TRIM(A1),"'")</f>
        <v>update dbo.MCLProductCodes set ProductType='Credit Reports',Group1='Integration Fee' where ProductCode='AVISTASOLUTION-ORDER'</v>
      </c>
    </row>
    <row r="2" spans="1:6" x14ac:dyDescent="0.35">
      <c r="A2" s="15" t="s">
        <v>1024</v>
      </c>
      <c r="F2" t="str">
        <f t="shared" ref="F2:F40" si="0">_xlfn.TEXTJOIN("",FALSE,"update dbo.MCLProductCodes set ProductType='Credit Reports',Group1='Integration Fee' where ProductCode='",TRIM(A2),"'")</f>
        <v>update dbo.MCLProductCodes set ProductType='Credit Reports',Group1='Integration Fee' where ProductCode='AVISTASOLUTION-RETRIEVE'</v>
      </c>
    </row>
    <row r="3" spans="1:6" x14ac:dyDescent="0.35">
      <c r="A3" s="16" t="s">
        <v>310</v>
      </c>
      <c r="F3" t="str">
        <f t="shared" si="0"/>
        <v>update dbo.MCLProductCodes set ProductType='Credit Reports',Group1='Integration Fee' where ProductCode='BEANSTALK-ORDER'</v>
      </c>
    </row>
    <row r="4" spans="1:6" x14ac:dyDescent="0.35">
      <c r="A4" s="16" t="s">
        <v>250</v>
      </c>
      <c r="F4" t="str">
        <f t="shared" si="0"/>
        <v>update dbo.MCLProductCodes set ProductType='Credit Reports',Group1='Integration Fee' where ProductCode='BEANSTALK-RETRIEVE'</v>
      </c>
    </row>
    <row r="5" spans="1:6" x14ac:dyDescent="0.35">
      <c r="A5" s="15" t="s">
        <v>1025</v>
      </c>
      <c r="F5" t="str">
        <f t="shared" si="0"/>
        <v>update dbo.MCLProductCodes set ProductType='Credit Reports',Group1='Integration Fee' where ProductCode='BLEND-ORDER'</v>
      </c>
    </row>
    <row r="6" spans="1:6" x14ac:dyDescent="0.35">
      <c r="A6" s="15" t="s">
        <v>1026</v>
      </c>
      <c r="F6" t="str">
        <f t="shared" si="0"/>
        <v>update dbo.MCLProductCodes set ProductType='Credit Reports',Group1='Integration Fee' where ProductCode='BLEND-RETRIEVE'</v>
      </c>
    </row>
    <row r="7" spans="1:6" x14ac:dyDescent="0.35">
      <c r="A7" s="15" t="s">
        <v>165</v>
      </c>
      <c r="F7" t="str">
        <f t="shared" si="0"/>
        <v>update dbo.MCLProductCodes set ProductType='Credit Reports',Group1='Integration Fee' where ProductCode='BYTE-ORDER'</v>
      </c>
    </row>
    <row r="8" spans="1:6" x14ac:dyDescent="0.35">
      <c r="A8" s="15" t="s">
        <v>231</v>
      </c>
      <c r="F8" t="str">
        <f t="shared" si="0"/>
        <v>update dbo.MCLProductCodes set ProductType='Credit Reports',Group1='Integration Fee' where ProductCode='BYTE-RETRIEVE'</v>
      </c>
    </row>
    <row r="9" spans="1:6" x14ac:dyDescent="0.35">
      <c r="A9" s="15" t="s">
        <v>33</v>
      </c>
      <c r="F9" t="str">
        <f t="shared" si="0"/>
        <v>update dbo.MCLProductCodes set ProductType='Credit Reports',Group1='Integration Fee' where ProductCode='CALYX DIRECT-ORDER'</v>
      </c>
    </row>
    <row r="10" spans="1:6" x14ac:dyDescent="0.35">
      <c r="A10" s="15" t="s">
        <v>138</v>
      </c>
      <c r="F10" t="str">
        <f t="shared" si="0"/>
        <v>update dbo.MCLProductCodes set ProductType='Credit Reports',Group1='Integration Fee' where ProductCode='CALYX DIRECT-RETRIEVE'</v>
      </c>
    </row>
    <row r="11" spans="1:6" x14ac:dyDescent="0.35">
      <c r="A11" s="15" t="s">
        <v>1028</v>
      </c>
      <c r="F11" t="str">
        <f t="shared" si="0"/>
        <v>update dbo.MCLProductCodes set ProductType='Credit Reports',Group1='Integration Fee' where ProductCode='CALYXDIRECT-ORDER'</v>
      </c>
    </row>
    <row r="12" spans="1:6" x14ac:dyDescent="0.35">
      <c r="A12" s="15" t="s">
        <v>1029</v>
      </c>
      <c r="F12" t="str">
        <f t="shared" si="0"/>
        <v>update dbo.MCLProductCodes set ProductType='Credit Reports',Group1='Integration Fee' where ProductCode='CALYXDIRECT-RETRIEVE'</v>
      </c>
    </row>
    <row r="13" spans="1:6" x14ac:dyDescent="0.35">
      <c r="A13" s="11" t="s">
        <v>195</v>
      </c>
      <c r="F13" t="str">
        <f t="shared" si="0"/>
        <v>update dbo.MCLProductCodes set ProductType='Credit Reports',Group1='Integration Fee' where ProductCode='INTERFACE FEE'</v>
      </c>
    </row>
    <row r="14" spans="1:6" x14ac:dyDescent="0.35">
      <c r="A14" s="15" t="s">
        <v>230</v>
      </c>
      <c r="F14" t="str">
        <f t="shared" si="0"/>
        <v>update dbo.MCLProductCodes set ProductType='Credit Reports',Group1='Integration Fee' where ProductCode='INTERFACE FEE (SMARTPAY)'</v>
      </c>
    </row>
    <row r="15" spans="1:6" x14ac:dyDescent="0.35">
      <c r="A15" s="15" t="s">
        <v>333</v>
      </c>
      <c r="F15" t="str">
        <f t="shared" si="0"/>
        <v>update dbo.MCLProductCodes set ProductType='Credit Reports',Group1='Integration Fee' where ProductCode='INTERFACE-ORDER'</v>
      </c>
    </row>
    <row r="16" spans="1:6" x14ac:dyDescent="0.35">
      <c r="A16" s="15" t="s">
        <v>100</v>
      </c>
      <c r="F16" t="str">
        <f t="shared" si="0"/>
        <v>update dbo.MCLProductCodes set ProductType='Credit Reports',Group1='Integration Fee' where ProductCode='INTERFACE-RETRIEVE'</v>
      </c>
    </row>
    <row r="17" spans="1:6" x14ac:dyDescent="0.35">
      <c r="A17" s="16" t="s">
        <v>254</v>
      </c>
      <c r="F17" t="str">
        <f t="shared" si="0"/>
        <v>update dbo.MCLProductCodes set ProductType='Credit Reports',Group1='Integration Fee' where ProductCode='LaserCredit-ORDER'</v>
      </c>
    </row>
    <row r="18" spans="1:6" x14ac:dyDescent="0.35">
      <c r="A18" s="13" t="s">
        <v>64</v>
      </c>
      <c r="F18" t="str">
        <f t="shared" si="0"/>
        <v>update dbo.MCLProductCodes set ProductType='Credit Reports',Group1='Integration Fee' where ProductCode='LaserCredit-RETRIEVE'</v>
      </c>
    </row>
    <row r="19" spans="1:6" x14ac:dyDescent="0.35">
      <c r="A19" s="16" t="s">
        <v>115</v>
      </c>
      <c r="F19" t="str">
        <f t="shared" si="0"/>
        <v>update dbo.MCLProductCodes set ProductType='Credit Reports',Group1='Integration Fee' where ProductCode='LenderHomepage-ORDER'</v>
      </c>
    </row>
    <row r="20" spans="1:6" x14ac:dyDescent="0.35">
      <c r="A20" s="13" t="s">
        <v>1090</v>
      </c>
      <c r="F20" t="str">
        <f t="shared" si="0"/>
        <v>update dbo.MCLProductCodes set ProductType='Credit Reports',Group1='Integration Fee' where ProductCode='LENDER''S OFFICE-ORDER'</v>
      </c>
    </row>
    <row r="21" spans="1:6" x14ac:dyDescent="0.35">
      <c r="A21" s="15" t="s">
        <v>1054</v>
      </c>
      <c r="F21" t="str">
        <f t="shared" si="0"/>
        <v>update dbo.MCLProductCodes set ProductType='Credit Reports',Group1='Integration Fee' where ProductCode='LENDINGPAD-ORDER'</v>
      </c>
    </row>
    <row r="22" spans="1:6" x14ac:dyDescent="0.35">
      <c r="A22" s="15" t="s">
        <v>1055</v>
      </c>
      <c r="F22" t="str">
        <f t="shared" si="0"/>
        <v>update dbo.MCLProductCodes set ProductType='Credit Reports',Group1='Integration Fee' where ProductCode='LENDINGPAD-RETRIEVE'</v>
      </c>
    </row>
    <row r="23" spans="1:6" x14ac:dyDescent="0.35">
      <c r="A23" s="11" t="s">
        <v>325</v>
      </c>
      <c r="F23" t="str">
        <f t="shared" si="0"/>
        <v>update dbo.MCLProductCodes set ProductType='Credit Reports',Group1='Integration Fee' where ProductCode='LEVELONE'</v>
      </c>
    </row>
    <row r="24" spans="1:6" x14ac:dyDescent="0.35">
      <c r="A24" s="15" t="s">
        <v>88</v>
      </c>
      <c r="F24" t="str">
        <f t="shared" si="0"/>
        <v>update dbo.MCLProductCodes set ProductType='Credit Reports',Group1='Integration Fee' where ProductCode='MORTGAGE BUILDER-ORDER'</v>
      </c>
    </row>
    <row r="25" spans="1:6" x14ac:dyDescent="0.35">
      <c r="A25" s="15" t="s">
        <v>273</v>
      </c>
      <c r="F25" t="str">
        <f t="shared" si="0"/>
        <v>update dbo.MCLProductCodes set ProductType='Credit Reports',Group1='Integration Fee' where ProductCode='MORTGAGE BUILDER-RETRIEVE'</v>
      </c>
    </row>
    <row r="26" spans="1:6" x14ac:dyDescent="0.35">
      <c r="A26" s="16" t="s">
        <v>1079</v>
      </c>
      <c r="F26" t="str">
        <f t="shared" si="0"/>
        <v>update dbo.MCLProductCodes set ProductType='Credit Reports',Group1='Integration Fee' where ProductCode='MORTGAGE CADENCE-RETRIEVE'</v>
      </c>
    </row>
    <row r="27" spans="1:6" x14ac:dyDescent="0.35">
      <c r="A27" s="15" t="s">
        <v>237</v>
      </c>
      <c r="F27" t="str">
        <f t="shared" si="0"/>
        <v>update dbo.MCLProductCodes set ProductType='Credit Reports',Group1='Integration Fee' where ProductCode='MORTGAGEBOT-ORDER'</v>
      </c>
    </row>
    <row r="28" spans="1:6" x14ac:dyDescent="0.35">
      <c r="A28" s="15" t="s">
        <v>42</v>
      </c>
      <c r="F28" t="str">
        <f t="shared" si="0"/>
        <v>update dbo.MCLProductCodes set ProductType='Credit Reports',Group1='Integration Fee' where ProductCode='MORTGAGEBOT-RETRIEVE'</v>
      </c>
    </row>
    <row r="29" spans="1:6" x14ac:dyDescent="0.35">
      <c r="A29" s="15" t="s">
        <v>110</v>
      </c>
      <c r="F29" t="str">
        <f t="shared" si="0"/>
        <v>update dbo.MCLProductCodes set ProductType='Credit Reports',Group1='Integration Fee' where ProductCode='MORTGAGEDIRECTOR-ORDER'</v>
      </c>
    </row>
    <row r="30" spans="1:6" x14ac:dyDescent="0.35">
      <c r="A30" s="15" t="s">
        <v>327</v>
      </c>
      <c r="F30" t="str">
        <f t="shared" si="0"/>
        <v>update dbo.MCLProductCodes set ProductType='Credit Reports',Group1='Integration Fee' where ProductCode='MORTGAGEDIRECTOR-RETRIEVE'</v>
      </c>
    </row>
    <row r="31" spans="1:6" x14ac:dyDescent="0.35">
      <c r="A31" s="16" t="s">
        <v>135</v>
      </c>
      <c r="F31" t="str">
        <f t="shared" si="0"/>
        <v>update dbo.MCLProductCodes set ProductType='Credit Reports',Group1='Integration Fee' where ProductCode='MORTGAGEFLEX-RETRIEVE'</v>
      </c>
    </row>
    <row r="32" spans="1:6" x14ac:dyDescent="0.35">
      <c r="A32" s="16" t="s">
        <v>1081</v>
      </c>
      <c r="F32" t="str">
        <f t="shared" si="0"/>
        <v>update dbo.MCLProductCodes set ProductType='Credit Reports',Group1='Integration Fee' where ProductCode='OPENCLOSE-ORDER'</v>
      </c>
    </row>
    <row r="33" spans="1:6" x14ac:dyDescent="0.35">
      <c r="A33" s="15" t="s">
        <v>1082</v>
      </c>
      <c r="F33" t="str">
        <f t="shared" si="0"/>
        <v>update dbo.MCLProductCodes set ProductType='Credit Reports',Group1='Integration Fee' where ProductCode='OPENCLOSE-RETRIEVE'</v>
      </c>
    </row>
    <row r="34" spans="1:6" x14ac:dyDescent="0.35">
      <c r="A34" s="16" t="s">
        <v>155</v>
      </c>
      <c r="F34" t="str">
        <f t="shared" si="0"/>
        <v>update dbo.MCLProductCodes set ProductType='Credit Reports',Group1='Integration Fee' where ProductCode='POINT WEBCONNECT-ORDER'</v>
      </c>
    </row>
    <row r="35" spans="1:6" x14ac:dyDescent="0.35">
      <c r="A35" s="16" t="s">
        <v>198</v>
      </c>
      <c r="F35" t="str">
        <f t="shared" si="0"/>
        <v>update dbo.MCLProductCodes set ProductType='Credit Reports',Group1='Integration Fee' where ProductCode='POINT WEBCONNECT-RETRIEVE'</v>
      </c>
    </row>
    <row r="36" spans="1:6" x14ac:dyDescent="0.35">
      <c r="A36" s="16" t="s">
        <v>1083</v>
      </c>
      <c r="F36" t="str">
        <f t="shared" si="0"/>
        <v>update dbo.MCLProductCodes set ProductType='Credit Reports',Group1='Integration Fee' where ProductCode='POINTWEBCONNECT-ORDER'</v>
      </c>
    </row>
    <row r="37" spans="1:6" x14ac:dyDescent="0.35">
      <c r="A37" s="16" t="s">
        <v>1084</v>
      </c>
      <c r="F37" t="str">
        <f t="shared" si="0"/>
        <v>update dbo.MCLProductCodes set ProductType='Credit Reports',Group1='Integration Fee' where ProductCode='POINTWEBCONNECT-RETRIEVE'</v>
      </c>
    </row>
    <row r="38" spans="1:6" x14ac:dyDescent="0.35">
      <c r="A38" s="16" t="s">
        <v>1086</v>
      </c>
      <c r="F38" t="str">
        <f t="shared" si="0"/>
        <v>update dbo.MCLProductCodes set ProductType='Credit Reports',Group1='Integration Fee' where ProductCode='REVERSEVISION-ORDER'</v>
      </c>
    </row>
    <row r="39" spans="1:6" x14ac:dyDescent="0.35">
      <c r="A39" s="14" t="s">
        <v>50</v>
      </c>
      <c r="F39" t="str">
        <f t="shared" si="0"/>
        <v>update dbo.MCLProductCodes set ProductType='Credit Reports',Group1='Integration Fee' where ProductCode='EPASS-ORDER'</v>
      </c>
    </row>
    <row r="40" spans="1:6" x14ac:dyDescent="0.35">
      <c r="A40" s="14" t="s">
        <v>329</v>
      </c>
      <c r="F40" t="str">
        <f t="shared" si="0"/>
        <v>update dbo.MCLProductCodes set ProductType='Credit Reports',Group1='Integration Fee' where ProductCode='EPASS-RETRIEVE'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7EA8-EFF2-4F54-A457-B246B32BFBED}">
  <dimension ref="A1:E3"/>
  <sheetViews>
    <sheetView workbookViewId="0">
      <selection activeCell="B18" sqref="B18"/>
    </sheetView>
  </sheetViews>
  <sheetFormatPr defaultRowHeight="14.5" x14ac:dyDescent="0.35"/>
  <cols>
    <col min="1" max="1" width="44.54296875" customWidth="1"/>
    <col min="3" max="3" width="56.81640625" customWidth="1"/>
    <col min="5" max="5" width="144.81640625" customWidth="1"/>
  </cols>
  <sheetData>
    <row r="1" spans="1:5" x14ac:dyDescent="0.35">
      <c r="A1" s="14" t="s">
        <v>1005</v>
      </c>
      <c r="C1" t="str">
        <f>_xlfn.TEXTJOIN("",FALSE,"""",TRIM(A1),""",")</f>
        <v>"SCORENAVMANUALSIMULATOR",</v>
      </c>
      <c r="E1" t="str">
        <f>_xlfn.TEXTJOIN("",FALSE,"update dbo.MCLProductCodes set ProductType='ScoreNavigator' where ProductCode='",TRIM(A1),"'")</f>
        <v>update dbo.MCLProductCodes set ProductType='ScoreNavigator' where ProductCode='SCORENAVMANUALSIMULATOR'</v>
      </c>
    </row>
    <row r="2" spans="1:5" x14ac:dyDescent="0.35">
      <c r="A2" s="14" t="s">
        <v>1006</v>
      </c>
      <c r="C2" t="str">
        <f t="shared" ref="C2:C3" si="0">_xlfn.TEXTJOIN("",FALSE,"""",TRIM(A2),""",")</f>
        <v>"SCORENAVMAP",</v>
      </c>
      <c r="E2" t="str">
        <f t="shared" ref="E2:E3" si="1">_xlfn.TEXTJOIN("",FALSE,"update dbo.MCLProductCodes set ProductType='ScoreNavigator' where ProductCode='",TRIM(A2),"'")</f>
        <v>update dbo.MCLProductCodes set ProductType='ScoreNavigator' where ProductCode='SCORENAVMAP'</v>
      </c>
    </row>
    <row r="3" spans="1:5" x14ac:dyDescent="0.35">
      <c r="A3" s="14" t="s">
        <v>1007</v>
      </c>
      <c r="C3" t="str">
        <f t="shared" si="0"/>
        <v>"SCORENAVMONEYANDTARGETSIMULATOR",</v>
      </c>
      <c r="E3" t="str">
        <f t="shared" si="1"/>
        <v>update dbo.MCLProductCodes set ProductType='ScoreNavigator' where ProductCode='SCORENAVMONEYANDTARGETSIMULATOR'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4756-9E44-408B-89F4-2F69AEFB3A02}">
  <dimension ref="A1:F277"/>
  <sheetViews>
    <sheetView topLeftCell="A25" workbookViewId="0">
      <selection activeCell="B38" sqref="B38"/>
    </sheetView>
  </sheetViews>
  <sheetFormatPr defaultRowHeight="14.5" x14ac:dyDescent="0.35"/>
  <cols>
    <col min="1" max="1" width="51.81640625" customWidth="1"/>
    <col min="2" max="2" width="75.81640625" customWidth="1"/>
    <col min="3" max="3" width="7.26953125" customWidth="1"/>
    <col min="4" max="4" width="60.453125" customWidth="1"/>
    <col min="6" max="6" width="127.7265625" customWidth="1"/>
  </cols>
  <sheetData>
    <row r="1" spans="1:6" x14ac:dyDescent="0.35">
      <c r="A1" s="14" t="s">
        <v>1095</v>
      </c>
      <c r="D1" t="str">
        <f>_xlfn.TEXTJOIN("",FALSE,"""",TRIM(A1),""",")</f>
        <v>"1BUR REACCESS FEE",</v>
      </c>
      <c r="F1" t="str">
        <f>_xlfn.TEXTJOIN("",FALSE,"update dbo.MCLProductCodes set ProductType='Credit Reports' where ProductCode='",TRIM(A1),"'")</f>
        <v>update dbo.MCLProductCodes set ProductType='Credit Reports' where ProductCode='1BUR REACCESS FEE'</v>
      </c>
    </row>
    <row r="2" spans="1:6" x14ac:dyDescent="0.35">
      <c r="A2" s="13" t="s">
        <v>1096</v>
      </c>
      <c r="D2" t="str">
        <f>_xlfn.TEXTJOIN("",FALSE,"""",TRIM(A2),""",")</f>
        <v>"1BUR RESCORE REACCESS FEE",</v>
      </c>
      <c r="F2" t="str">
        <f>_xlfn.TEXTJOIN("",FALSE,"update dbo.MCLProductCodes set ProductType='Credit Reports' where ProductCode='",TRIM(A2),"'")</f>
        <v>update dbo.MCLProductCodes set ProductType='Credit Reports' where ProductCode='1BUR RESCORE REACCESS FEE'</v>
      </c>
    </row>
    <row r="3" spans="1:6" x14ac:dyDescent="0.35">
      <c r="A3" s="13" t="s">
        <v>1097</v>
      </c>
      <c r="D3" t="str">
        <f>_xlfn.TEXTJOIN("",FALSE,"""",TRIM(A3),""",")</f>
        <v>"1BURJ REACCESS FEE",</v>
      </c>
      <c r="F3" t="str">
        <f>_xlfn.TEXTJOIN("",FALSE,"update dbo.MCLProductCodes set ProductType='Credit Reports' where ProductCode='",TRIM(A3),"'")</f>
        <v>update dbo.MCLProductCodes set ProductType='Credit Reports' where ProductCode='1BURJ REACCESS FEE'</v>
      </c>
    </row>
    <row r="4" spans="1:6" x14ac:dyDescent="0.35">
      <c r="A4" s="14" t="s">
        <v>1098</v>
      </c>
      <c r="D4" t="str">
        <f>_xlfn.TEXTJOIN("",FALSE,"""",TRIM(A4),""",")</f>
        <v>"2BUR REACCESS FEE",</v>
      </c>
      <c r="F4" t="str">
        <f>_xlfn.TEXTJOIN("",FALSE,"update dbo.MCLProductCodes set ProductType='Credit Reports' where ProductCode='",TRIM(A4),"'")</f>
        <v>update dbo.MCLProductCodes set ProductType='Credit Reports' where ProductCode='2BUR REACCESS FEE'</v>
      </c>
    </row>
    <row r="5" spans="1:6" x14ac:dyDescent="0.35">
      <c r="A5" s="13" t="s">
        <v>1099</v>
      </c>
      <c r="D5" t="str">
        <f>_xlfn.TEXTJOIN("",FALSE,"""",TRIM(A5),""",")</f>
        <v>"2BUR RESCORE REACCESS FEE",</v>
      </c>
      <c r="F5" t="str">
        <f>_xlfn.TEXTJOIN("",FALSE,"update dbo.MCLProductCodes set ProductType='Credit Reports' where ProductCode='",TRIM(A5),"'")</f>
        <v>update dbo.MCLProductCodes set ProductType='Credit Reports' where ProductCode='2BUR RESCORE REACCESS FEE'</v>
      </c>
    </row>
    <row r="6" spans="1:6" x14ac:dyDescent="0.35">
      <c r="A6" s="14" t="s">
        <v>1100</v>
      </c>
      <c r="D6" t="str">
        <f>_xlfn.TEXTJOIN("",FALSE,"""",TRIM(A6),""",")</f>
        <v>"2BURJ REACCESS FEE",</v>
      </c>
      <c r="F6" t="str">
        <f>_xlfn.TEXTJOIN("",FALSE,"update dbo.MCLProductCodes set ProductType='Credit Reports' where ProductCode='",TRIM(A6),"'")</f>
        <v>update dbo.MCLProductCodes set ProductType='Credit Reports' where ProductCode='2BURJ REACCESS FEE'</v>
      </c>
    </row>
    <row r="7" spans="1:6" x14ac:dyDescent="0.35">
      <c r="A7" s="13" t="s">
        <v>396</v>
      </c>
      <c r="B7" t="s">
        <v>397</v>
      </c>
      <c r="D7" t="str">
        <f>_xlfn.TEXTJOIN("",FALSE,"""",TRIM(A7),""",")</f>
        <v>"3BUR",</v>
      </c>
      <c r="F7" t="str">
        <f>_xlfn.TEXTJOIN("",FALSE,"update dbo.MCLProductCodes set ProductType='Credit Reports' where ProductCode='",TRIM(A7),"'")</f>
        <v>update dbo.MCLProductCodes set ProductType='Credit Reports' where ProductCode='3BUR'</v>
      </c>
    </row>
    <row r="8" spans="1:6" x14ac:dyDescent="0.35">
      <c r="A8" s="13" t="s">
        <v>398</v>
      </c>
      <c r="B8" t="s">
        <v>399</v>
      </c>
      <c r="D8" t="str">
        <f>_xlfn.TEXTJOIN("",FALSE,"""",TRIM(A8),""",")</f>
        <v>"3BURJ",</v>
      </c>
      <c r="F8" t="str">
        <f>_xlfn.TEXTJOIN("",FALSE,"update dbo.MCLProductCodes set ProductType='Credit Reports' where ProductCode='",TRIM(A8),"'")</f>
        <v>update dbo.MCLProductCodes set ProductType='Credit Reports' where ProductCode='3BURJ'</v>
      </c>
    </row>
    <row r="9" spans="1:6" x14ac:dyDescent="0.35">
      <c r="A9" s="13" t="s">
        <v>402</v>
      </c>
      <c r="B9" t="s">
        <v>403</v>
      </c>
      <c r="D9" t="str">
        <f>_xlfn.TEXTJOIN("",FALSE,"""",TRIM(A9),""",")</f>
        <v>"3BURJ-R",</v>
      </c>
      <c r="F9" t="str">
        <f>_xlfn.TEXTJOIN("",FALSE,"update dbo.MCLProductCodes set ProductType='Credit Reports' where ProductCode='",TRIM(A9),"'")</f>
        <v>update dbo.MCLProductCodes set ProductType='Credit Reports' where ProductCode='3BURJ-R'</v>
      </c>
    </row>
    <row r="10" spans="1:6" x14ac:dyDescent="0.35">
      <c r="A10" s="13" t="s">
        <v>400</v>
      </c>
      <c r="B10" t="s">
        <v>401</v>
      </c>
      <c r="D10" t="str">
        <f>_xlfn.TEXTJOIN("",FALSE,"""",TRIM(A10),""",")</f>
        <v>"3BUR-R",</v>
      </c>
      <c r="F10" t="str">
        <f>_xlfn.TEXTJOIN("",FALSE,"update dbo.MCLProductCodes set ProductType='Credit Reports' where ProductCode='",TRIM(A10),"'")</f>
        <v>update dbo.MCLProductCodes set ProductType='Credit Reports' where ProductCode='3BUR-R'</v>
      </c>
    </row>
    <row r="11" spans="1:6" x14ac:dyDescent="0.35">
      <c r="A11" s="14" t="s">
        <v>404</v>
      </c>
      <c r="B11" t="s">
        <v>405</v>
      </c>
      <c r="D11" t="str">
        <f>_xlfn.TEXTJOIN("",FALSE,"""",TRIM(A11),""",")</f>
        <v>"3P REISSUE",</v>
      </c>
      <c r="F11" t="str">
        <f>_xlfn.TEXTJOIN("",FALSE,"update dbo.MCLProductCodes set ProductType='Credit Reports' where ProductCode='",TRIM(A11),"'")</f>
        <v>update dbo.MCLProductCodes set ProductType='Credit Reports' where ProductCode='3P REISSUE'</v>
      </c>
    </row>
    <row r="12" spans="1:6" x14ac:dyDescent="0.35">
      <c r="A12" s="13" t="s">
        <v>1094</v>
      </c>
      <c r="B12" t="s">
        <v>405</v>
      </c>
      <c r="D12" t="str">
        <f>_xlfn.TEXTJOIN("",FALSE,"""",TRIM(A12),""",")</f>
        <v>"3P_REISSUE",</v>
      </c>
      <c r="F12" t="str">
        <f>_xlfn.TEXTJOIN("",FALSE,"update dbo.MCLProductCodes set ProductType='Credit Reports' where ProductCode='",TRIM(A12),"'")</f>
        <v>update dbo.MCLProductCodes set ProductType='Credit Reports' where ProductCode='3P_REISSUE'</v>
      </c>
    </row>
    <row r="13" spans="1:6" x14ac:dyDescent="0.35">
      <c r="A13" s="14" t="s">
        <v>34</v>
      </c>
      <c r="D13" t="str">
        <f>_xlfn.TEXTJOIN("",FALSE,"""",TRIM(A13),""",")</f>
        <v>"ADD1BI",</v>
      </c>
      <c r="F13" t="str">
        <f>_xlfn.TEXTJOIN("",FALSE,"update dbo.MCLProductCodes set ProductType='Credit Reports' where ProductCode='",TRIM(A13),"'")</f>
        <v>update dbo.MCLProductCodes set ProductType='Credit Reports' where ProductCode='ADD1BI'</v>
      </c>
    </row>
    <row r="14" spans="1:6" x14ac:dyDescent="0.35">
      <c r="A14" s="14" t="s">
        <v>7</v>
      </c>
      <c r="D14" t="str">
        <f>_xlfn.TEXTJOIN("",FALSE,"""",TRIM(A14),""",")</f>
        <v>"ADD1BJ",</v>
      </c>
      <c r="F14" t="str">
        <f>_xlfn.TEXTJOIN("",FALSE,"update dbo.MCLProductCodes set ProductType='Credit Reports' where ProductCode='",TRIM(A14),"'")</f>
        <v>update dbo.MCLProductCodes set ProductType='Credit Reports' where ProductCode='ADD1BJ'</v>
      </c>
    </row>
    <row r="15" spans="1:6" x14ac:dyDescent="0.35">
      <c r="A15" s="14" t="s">
        <v>210</v>
      </c>
      <c r="D15" t="str">
        <f>_xlfn.TEXTJOIN("",FALSE,"""",TRIM(A15),""",")</f>
        <v>"ADD2BI",</v>
      </c>
      <c r="F15" t="str">
        <f>_xlfn.TEXTJOIN("",FALSE,"update dbo.MCLProductCodes set ProductType='Credit Reports' where ProductCode='",TRIM(A15),"'")</f>
        <v>update dbo.MCLProductCodes set ProductType='Credit Reports' where ProductCode='ADD2BI'</v>
      </c>
    </row>
    <row r="16" spans="1:6" x14ac:dyDescent="0.35">
      <c r="A16" s="14" t="s">
        <v>5</v>
      </c>
      <c r="D16" t="str">
        <f>_xlfn.TEXTJOIN("",FALSE,"""",TRIM(A16),""",")</f>
        <v>"ADD2BJ",</v>
      </c>
      <c r="F16" t="str">
        <f>_xlfn.TEXTJOIN("",FALSE,"update dbo.MCLProductCodes set ProductType='Credit Reports' where ProductCode='",TRIM(A16),"'")</f>
        <v>update dbo.MCLProductCodes set ProductType='Credit Reports' where ProductCode='ADD2BJ'</v>
      </c>
    </row>
    <row r="17" spans="1:6" x14ac:dyDescent="0.35">
      <c r="A17" s="13" t="s">
        <v>326</v>
      </c>
      <c r="D17" t="str">
        <f>_xlfn.TEXTJOIN("",FALSE,"""",TRIM(A17),""",")</f>
        <v>"ADD3BI",</v>
      </c>
      <c r="F17" t="str">
        <f>_xlfn.TEXTJOIN("",FALSE,"update dbo.MCLProductCodes set ProductType='Credit Reports' where ProductCode='",TRIM(A17),"'")</f>
        <v>update dbo.MCLProductCodes set ProductType='Credit Reports' where ProductCode='ADD3BI'</v>
      </c>
    </row>
    <row r="18" spans="1:6" x14ac:dyDescent="0.35">
      <c r="A18" s="14" t="s">
        <v>229</v>
      </c>
      <c r="D18" t="str">
        <f>_xlfn.TEXTJOIN("",FALSE,"""",TRIM(A18),""",")</f>
        <v>"ADDCOB",</v>
      </c>
      <c r="F18" t="str">
        <f>_xlfn.TEXTJOIN("",FALSE,"update dbo.MCLProductCodes set ProductType='Credit Reports' where ProductCode='",TRIM(A18),"'")</f>
        <v>update dbo.MCLProductCodes set ProductType='Credit Reports' where ProductCode='ADDCOB'</v>
      </c>
    </row>
    <row r="19" spans="1:6" x14ac:dyDescent="0.35">
      <c r="A19" s="14" t="s">
        <v>121</v>
      </c>
      <c r="D19" t="str">
        <f>_xlfn.TEXTJOIN("",FALSE,"""",TRIM(A19),""",")</f>
        <v>"ADDCOB1B",</v>
      </c>
      <c r="F19" t="str">
        <f>_xlfn.TEXTJOIN("",FALSE,"update dbo.MCLProductCodes set ProductType='Credit Reports' where ProductCode='",TRIM(A19),"'")</f>
        <v>update dbo.MCLProductCodes set ProductType='Credit Reports' where ProductCode='ADDCOB1B'</v>
      </c>
    </row>
    <row r="20" spans="1:6" x14ac:dyDescent="0.35">
      <c r="A20" s="14" t="s">
        <v>227</v>
      </c>
      <c r="D20" t="str">
        <f>_xlfn.TEXTJOIN("",FALSE,"""",TRIM(A20),""",")</f>
        <v>"ADDCOB2B",</v>
      </c>
      <c r="F20" t="str">
        <f>_xlfn.TEXTJOIN("",FALSE,"update dbo.MCLProductCodes set ProductType='Credit Reports' where ProductCode='",TRIM(A20),"'")</f>
        <v>update dbo.MCLProductCodes set ProductType='Credit Reports' where ProductCode='ADDCOB2B'</v>
      </c>
    </row>
    <row r="21" spans="1:6" x14ac:dyDescent="0.35">
      <c r="A21" s="14" t="s">
        <v>3</v>
      </c>
      <c r="D21" t="str">
        <f>_xlfn.TEXTJOIN("",FALSE,"""",TRIM(A21),""",")</f>
        <v>"ADDSPOUSE",</v>
      </c>
      <c r="F21" t="str">
        <f>_xlfn.TEXTJOIN("",FALSE,"update dbo.MCLProductCodes set ProductType='Credit Reports' where ProductCode='",TRIM(A21),"'")</f>
        <v>update dbo.MCLProductCodes set ProductType='Credit Reports' where ProductCode='ADDSPOUSE'</v>
      </c>
    </row>
    <row r="22" spans="1:6" x14ac:dyDescent="0.35">
      <c r="A22" s="13" t="s">
        <v>188</v>
      </c>
      <c r="D22" t="str">
        <f>_xlfn.TEXTJOIN("",FALSE,"""",TRIM(A22),""",")</f>
        <v>"AUS CREDIT REISSUE",</v>
      </c>
      <c r="F22" t="str">
        <f>_xlfn.TEXTJOIN("",FALSE,"update dbo.MCLProductCodes set ProductType='Credit Reports' where ProductCode='",TRIM(A22),"'")</f>
        <v>update dbo.MCLProductCodes set ProductType='Credit Reports' where ProductCode='AUS CREDIT REISSUE'</v>
      </c>
    </row>
    <row r="23" spans="1:6" x14ac:dyDescent="0.35">
      <c r="A23" s="13" t="s">
        <v>1</v>
      </c>
      <c r="D23" t="str">
        <f>_xlfn.TEXTJOIN("",FALSE,"""",TRIM(A23),""",")</f>
        <v>"AUS ORDER CREDIT",</v>
      </c>
      <c r="F23" t="str">
        <f>_xlfn.TEXTJOIN("",FALSE,"update dbo.MCLProductCodes set ProductType='Credit Reports' where ProductCode='",TRIM(A23),"'")</f>
        <v>update dbo.MCLProductCodes set ProductType='Credit Reports' where ProductCode='AUS ORDER CREDIT'</v>
      </c>
    </row>
    <row r="24" spans="1:6" x14ac:dyDescent="0.35">
      <c r="A24" s="14" t="s">
        <v>226</v>
      </c>
      <c r="D24" t="str">
        <f>_xlfn.TEXTJOIN("",FALSE,"""",TRIM(A24),""",")</f>
        <v>"AUTOPAY",</v>
      </c>
      <c r="F24" t="str">
        <f>_xlfn.TEXTJOIN("",FALSE,"update dbo.MCLProductCodes set ProductType='Credit Reports' where ProductCode='",TRIM(A24),"'")</f>
        <v>update dbo.MCLProductCodes set ProductType='Credit Reports' where ProductCode='AUTOPAY'</v>
      </c>
    </row>
    <row r="25" spans="1:6" x14ac:dyDescent="0.35">
      <c r="A25" s="17" t="s">
        <v>310</v>
      </c>
      <c r="D25" t="str">
        <f>_xlfn.TEXTJOIN("",FALSE,"""",TRIM(A25),""",")</f>
        <v>"BEANSTALK-ORDER",</v>
      </c>
      <c r="F25" t="str">
        <f>_xlfn.TEXTJOIN("",FALSE,"update dbo.MCLProductCodes set ProductType='Credit Reports' where ProductCode='",TRIM(A25),"'")</f>
        <v>update dbo.MCLProductCodes set ProductType='Credit Reports' where ProductCode='BEANSTALK-ORDER'</v>
      </c>
    </row>
    <row r="26" spans="1:6" x14ac:dyDescent="0.35">
      <c r="A26" s="17" t="s">
        <v>250</v>
      </c>
      <c r="D26" t="str">
        <f>_xlfn.TEXTJOIN("",FALSE,"""",TRIM(A26),""",")</f>
        <v>"BEANSTALK-RETRIEVE",</v>
      </c>
      <c r="F26" t="str">
        <f>_xlfn.TEXTJOIN("",FALSE,"update dbo.MCLProductCodes set ProductType='Credit Reports' where ProductCode='",TRIM(A26),"'")</f>
        <v>update dbo.MCLProductCodes set ProductType='Credit Reports' where ProductCode='BEANSTALK-RETRIEVE'</v>
      </c>
    </row>
    <row r="27" spans="1:6" x14ac:dyDescent="0.35">
      <c r="A27" s="14" t="s">
        <v>2</v>
      </c>
      <c r="D27" t="str">
        <f>_xlfn.TEXTJOIN("",FALSE,"""",TRIM(A27),""",")</f>
        <v>"BUNDLED CREDIT FEE",</v>
      </c>
      <c r="F27" t="str">
        <f>_xlfn.TEXTJOIN("",FALSE,"update dbo.MCLProductCodes set ProductType='Credit Reports' where ProductCode='",TRIM(A27),"'")</f>
        <v>update dbo.MCLProductCodes set ProductType='Credit Reports' where ProductCode='BUNDLED CREDIT FEE'</v>
      </c>
    </row>
    <row r="28" spans="1:6" x14ac:dyDescent="0.35">
      <c r="A28" s="13" t="s">
        <v>1163</v>
      </c>
      <c r="D28" t="str">
        <f>_xlfn.TEXTJOIN("",FALSE,"""",TRIM(A28),""",")</f>
        <v>"CANADIAN CREDIT REPORT",</v>
      </c>
      <c r="F28" t="str">
        <f>_xlfn.TEXTJOIN("",FALSE,"update dbo.MCLProductCodes set ProductType='Credit Reports' where ProductCode='",TRIM(A28),"'")</f>
        <v>update dbo.MCLProductCodes set ProductType='Credit Reports' where ProductCode='CANADIAN CREDIT REPORT'</v>
      </c>
    </row>
    <row r="29" spans="1:6" x14ac:dyDescent="0.35">
      <c r="A29" s="14" t="s">
        <v>1162</v>
      </c>
      <c r="D29" t="str">
        <f>_xlfn.TEXTJOIN("",FALSE,"""",TRIM(A29),""",")</f>
        <v>"CANADIAN REPORT",</v>
      </c>
      <c r="F29" t="str">
        <f>_xlfn.TEXTJOIN("",FALSE,"update dbo.MCLProductCodes set ProductType='Credit Reports' where ProductCode='",TRIM(A29),"'")</f>
        <v>update dbo.MCLProductCodes set ProductType='Credit Reports' where ProductCode='CANADIAN REPORT'</v>
      </c>
    </row>
    <row r="30" spans="1:6" x14ac:dyDescent="0.35">
      <c r="A30" s="14" t="s">
        <v>139</v>
      </c>
      <c r="D30" t="str">
        <f>_xlfn.TEXTJOIN("",FALSE,"""",TRIM(A30),""",")</f>
        <v>"CC TRAN FEE",</v>
      </c>
      <c r="F30" t="str">
        <f>_xlfn.TEXTJOIN("",FALSE,"update dbo.MCLProductCodes set ProductType='Credit Reports' where ProductCode='",TRIM(A30),"'")</f>
        <v>update dbo.MCLProductCodes set ProductType='Credit Reports' where ProductCode='CC TRAN FEE'</v>
      </c>
    </row>
    <row r="31" spans="1:6" x14ac:dyDescent="0.35">
      <c r="A31" s="14" t="s">
        <v>1164</v>
      </c>
      <c r="D31" t="str">
        <f>_xlfn.TEXTJOIN("",FALSE,"""",TRIM(A31),""",")</f>
        <v>"CCP",</v>
      </c>
      <c r="F31" t="str">
        <f>_xlfn.TEXTJOIN("",FALSE,"update dbo.MCLProductCodes set ProductType='Credit Reports' where ProductCode='",TRIM(A31),"'")</f>
        <v>update dbo.MCLProductCodes set ProductType='Credit Reports' where ProductCode='CCP'</v>
      </c>
    </row>
    <row r="32" spans="1:6" x14ac:dyDescent="0.35">
      <c r="A32" s="13" t="s">
        <v>153</v>
      </c>
      <c r="D32" t="str">
        <f>_xlfn.TEXTJOIN("",FALSE,"""",TRIM(A32),""",")</f>
        <v>"CLOSED LOAN ADJUSTMENT",</v>
      </c>
      <c r="F32" t="str">
        <f>_xlfn.TEXTJOIN("",FALSE,"update dbo.MCLProductCodes set ProductType='Credit Reports' where ProductCode='",TRIM(A32),"'")</f>
        <v>update dbo.MCLProductCodes set ProductType='Credit Reports' where ProductCode='CLOSED LOAN ADJUSTMENT'</v>
      </c>
    </row>
    <row r="33" spans="1:6" x14ac:dyDescent="0.35">
      <c r="A33" s="14" t="s">
        <v>281</v>
      </c>
      <c r="D33" t="str">
        <f>_xlfn.TEXTJOIN("",FALSE,"""",TRIM(A33),""",")</f>
        <v>"COMPARISON REPORT",</v>
      </c>
      <c r="F33" t="str">
        <f>_xlfn.TEXTJOIN("",FALSE,"update dbo.MCLProductCodes set ProductType='Credit Reports' where ProductCode='",TRIM(A33),"'")</f>
        <v>update dbo.MCLProductCodes set ProductType='Credit Reports' where ProductCode='COMPARISON REPORT'</v>
      </c>
    </row>
    <row r="34" spans="1:6" x14ac:dyDescent="0.35">
      <c r="A34" s="13" t="s">
        <v>80</v>
      </c>
      <c r="D34" t="str">
        <f>_xlfn.TEXTJOIN("",FALSE,"""",TRIM(A34),""",")</f>
        <v>"CONSUMER_IDV",</v>
      </c>
      <c r="F34" t="str">
        <f>_xlfn.TEXTJOIN("",FALSE,"update dbo.MCLProductCodes set ProductType='Credit Reports' where ProductCode='",TRIM(A34),"'")</f>
        <v>update dbo.MCLProductCodes set ProductType='Credit Reports' where ProductCode='CONSUMER_IDV'</v>
      </c>
    </row>
    <row r="35" spans="1:6" x14ac:dyDescent="0.35">
      <c r="A35" s="13" t="s">
        <v>185</v>
      </c>
      <c r="D35" t="str">
        <f>_xlfn.TEXTJOIN("",FALSE,"""",TRIM(A35),""",")</f>
        <v>"COPIED FILE",</v>
      </c>
      <c r="F35" t="str">
        <f>_xlfn.TEXTJOIN("",FALSE,"update dbo.MCLProductCodes set ProductType='Credit Reports' where ProductCode='",TRIM(A35),"'")</f>
        <v>update dbo.MCLProductCodes set ProductType='Credit Reports' where ProductCode='COPIED FILE'</v>
      </c>
    </row>
    <row r="36" spans="1:6" x14ac:dyDescent="0.35">
      <c r="A36" s="14" t="s">
        <v>0</v>
      </c>
      <c r="D36" t="str">
        <f>_xlfn.TEXTJOIN("",FALSE,"""",TRIM(A36),""",")</f>
        <v>"COPIED FILE FEE",</v>
      </c>
      <c r="F36" t="str">
        <f>_xlfn.TEXTJOIN("",FALSE,"update dbo.MCLProductCodes set ProductType='Credit Reports' where ProductCode='",TRIM(A36),"'")</f>
        <v>update dbo.MCLProductCodes set ProductType='Credit Reports' where ProductCode='COPIED FILE FEE'</v>
      </c>
    </row>
    <row r="37" spans="1:6" x14ac:dyDescent="0.35">
      <c r="A37" s="13" t="s">
        <v>343</v>
      </c>
      <c r="D37" t="str">
        <f>_xlfn.TEXTJOIN("",FALSE,"""",TRIM(A37),""",")</f>
        <v>"COPIED FILE FEE - 71137 PARK SQUARE HOME MTG ONLY",</v>
      </c>
      <c r="F37" t="str">
        <f>_xlfn.TEXTJOIN("",FALSE,"update dbo.MCLProductCodes set ProductType='Credit Reports' where ProductCode='",TRIM(A37),"'")</f>
        <v>update dbo.MCLProductCodes set ProductType='Credit Reports' where ProductCode='COPIED FILE FEE - 71137 PARK SQUARE HOME MTG ONLY'</v>
      </c>
    </row>
    <row r="38" spans="1:6" x14ac:dyDescent="0.35">
      <c r="A38" s="13" t="s">
        <v>340</v>
      </c>
      <c r="D38" t="str">
        <f>_xlfn.TEXTJOIN("",FALSE,"""",TRIM(A38),""",")</f>
        <v>"COPIED FILE FEE - 71166 JET HOMELOANS LLC ONLY",</v>
      </c>
      <c r="F38" t="str">
        <f>_xlfn.TEXTJOIN("",FALSE,"update dbo.MCLProductCodes set ProductType='Credit Reports' where ProductCode='",TRIM(A38),"'")</f>
        <v>update dbo.MCLProductCodes set ProductType='Credit Reports' where ProductCode='COPIED FILE FEE - 71166 JET HOMELOANS LLC ONLY'</v>
      </c>
    </row>
    <row r="39" spans="1:6" x14ac:dyDescent="0.35">
      <c r="A39" s="13" t="s">
        <v>278</v>
      </c>
      <c r="D39" t="str">
        <f>_xlfn.TEXTJOIN("",FALSE,"""",TRIM(A39),""",")</f>
        <v>"COPIED FILE FEE - 71168 TRAILBLAZER MORTGAGE ONLY",</v>
      </c>
      <c r="F39" t="str">
        <f>_xlfn.TEXTJOIN("",FALSE,"update dbo.MCLProductCodes set ProductType='Credit Reports' where ProductCode='",TRIM(A39),"'")</f>
        <v>update dbo.MCLProductCodes set ProductType='Credit Reports' where ProductCode='COPIED FILE FEE - 71168 TRAILBLAZER MORTGAGE ONLY'</v>
      </c>
    </row>
    <row r="40" spans="1:6" x14ac:dyDescent="0.35">
      <c r="A40" s="13" t="s">
        <v>225</v>
      </c>
      <c r="D40" t="str">
        <f>_xlfn.TEXTJOIN("",FALSE,"""",TRIM(A40),""",")</f>
        <v>"COPIED FILE FEE - 71169 RMC HOME MORTGAGE ONLY",</v>
      </c>
      <c r="F40" t="str">
        <f>_xlfn.TEXTJOIN("",FALSE,"update dbo.MCLProductCodes set ProductType='Credit Reports' where ProductCode='",TRIM(A40),"'")</f>
        <v>update dbo.MCLProductCodes set ProductType='Credit Reports' where ProductCode='COPIED FILE FEE - 71169 RMC HOME MORTGAGE ONLY'</v>
      </c>
    </row>
    <row r="41" spans="1:6" x14ac:dyDescent="0.35">
      <c r="A41" s="13" t="s">
        <v>296</v>
      </c>
      <c r="D41" t="str">
        <f>_xlfn.TEXTJOIN("",FALSE,"""",TRIM(A41),""",")</f>
        <v>"COPIED FILE FEE - 71174 COASTAL LOANS LLC ONLY",</v>
      </c>
      <c r="F41" t="str">
        <f>_xlfn.TEXTJOIN("",FALSE,"update dbo.MCLProductCodes set ProductType='Credit Reports' where ProductCode='",TRIM(A41),"'")</f>
        <v>update dbo.MCLProductCodes set ProductType='Credit Reports' where ProductCode='COPIED FILE FEE - 71174 COASTAL LOANS LLC ONLY'</v>
      </c>
    </row>
    <row r="42" spans="1:6" x14ac:dyDescent="0.35">
      <c r="A42" s="13" t="s">
        <v>65</v>
      </c>
      <c r="D42" t="str">
        <f>_xlfn.TEXTJOIN("",FALSE,"""",TRIM(A42),""",")</f>
        <v>"COPIED FILE FEE - 71180 HOMEOWNERS MORTGAGE ONLY",</v>
      </c>
      <c r="F42" t="str">
        <f>_xlfn.TEXTJOIN("",FALSE,"update dbo.MCLProductCodes set ProductType='Credit Reports' where ProductCode='",TRIM(A42),"'")</f>
        <v>update dbo.MCLProductCodes set ProductType='Credit Reports' where ProductCode='COPIED FILE FEE - 71180 HOMEOWNERS MORTGAGE ONLY'</v>
      </c>
    </row>
    <row r="43" spans="1:6" x14ac:dyDescent="0.35">
      <c r="A43" s="13" t="s">
        <v>89</v>
      </c>
      <c r="D43" t="str">
        <f>_xlfn.TEXTJOIN("",FALSE,"""",TRIM(A43),""",")</f>
        <v>"COPIED FILE FEE - 71187 MHC MORTGAGE LLC ONLY",</v>
      </c>
      <c r="F43" t="str">
        <f>_xlfn.TEXTJOIN("",FALSE,"update dbo.MCLProductCodes set ProductType='Credit Reports' where ProductCode='",TRIM(A43),"'")</f>
        <v>update dbo.MCLProductCodes set ProductType='Credit Reports' where ProductCode='COPIED FILE FEE - 71187 MHC MORTGAGE LLC ONLY'</v>
      </c>
    </row>
    <row r="44" spans="1:6" x14ac:dyDescent="0.35">
      <c r="A44" s="13" t="s">
        <v>86</v>
      </c>
      <c r="D44" t="str">
        <f>_xlfn.TEXTJOIN("",FALSE,"""",TRIM(A44),""",")</f>
        <v>"COPIED FILE FEE - 9011 SUN WEST MORTGAGE ONLY",</v>
      </c>
      <c r="F44" t="str">
        <f>_xlfn.TEXTJOIN("",FALSE,"update dbo.MCLProductCodes set ProductType='Credit Reports' where ProductCode='",TRIM(A44),"'")</f>
        <v>update dbo.MCLProductCodes set ProductType='Credit Reports' where ProductCode='COPIED FILE FEE - 9011 SUN WEST MORTGAGE ONLY'</v>
      </c>
    </row>
    <row r="45" spans="1:6" x14ac:dyDescent="0.35">
      <c r="A45" s="13" t="s">
        <v>1114</v>
      </c>
      <c r="D45" t="str">
        <f>_xlfn.TEXTJOIN("",FALSE,"""",TRIM(A45),""",")</f>
        <v>"COPIED FILE FEE - ACRISURE MORTGAGE, LLC",</v>
      </c>
      <c r="F45" t="str">
        <f>_xlfn.TEXTJOIN("",FALSE,"update dbo.MCLProductCodes set ProductType='Credit Reports' where ProductCode='",TRIM(A45),"'")</f>
        <v>update dbo.MCLProductCodes set ProductType='Credit Reports' where ProductCode='COPIED FILE FEE - ACRISURE MORTGAGE, LLC'</v>
      </c>
    </row>
    <row r="46" spans="1:6" x14ac:dyDescent="0.35">
      <c r="A46" s="14" t="s">
        <v>27</v>
      </c>
      <c r="D46" t="str">
        <f>_xlfn.TEXTJOIN("",FALSE,"""",TRIM(A46),""",")</f>
        <v>"COPIED FILE FEE - ALTITUDE FINANCIAL FA114",</v>
      </c>
      <c r="F46" t="str">
        <f>_xlfn.TEXTJOIN("",FALSE,"update dbo.MCLProductCodes set ProductType='Credit Reports' where ProductCode='",TRIM(A46),"'")</f>
        <v>update dbo.MCLProductCodes set ProductType='Credit Reports' where ProductCode='COPIED FILE FEE - ALTITUDE FINANCIAL FA114'</v>
      </c>
    </row>
    <row r="47" spans="1:6" x14ac:dyDescent="0.35">
      <c r="A47" s="13" t="s">
        <v>19</v>
      </c>
      <c r="D47" t="str">
        <f>_xlfn.TEXTJOIN("",FALSE,"""",TRIM(A47),""",")</f>
        <v>"COPIED FILE FEE - C22404 MY LOAN UNDERWRITERS ONLY",</v>
      </c>
      <c r="F47" t="str">
        <f>_xlfn.TEXTJOIN("",FALSE,"update dbo.MCLProductCodes set ProductType='Credit Reports' where ProductCode='",TRIM(A47),"'")</f>
        <v>update dbo.MCLProductCodes set ProductType='Credit Reports' where ProductCode='COPIED FILE FEE - C22404 MY LOAN UNDERWRITERS ONLY'</v>
      </c>
    </row>
    <row r="48" spans="1:6" x14ac:dyDescent="0.35">
      <c r="A48" s="13" t="s">
        <v>20</v>
      </c>
      <c r="D48" t="str">
        <f>_xlfn.TEXTJOIN("",FALSE,"""",TRIM(A48),""",")</f>
        <v>"COPIED FILE FEE - C22529 OPTION FUNDING ONLY",</v>
      </c>
      <c r="F48" t="str">
        <f>_xlfn.TEXTJOIN("",FALSE,"update dbo.MCLProductCodes set ProductType='Credit Reports' where ProductCode='",TRIM(A48),"'")</f>
        <v>update dbo.MCLProductCodes set ProductType='Credit Reports' where ProductCode='COPIED FILE FEE - C22529 OPTION FUNDING ONLY'</v>
      </c>
    </row>
    <row r="49" spans="1:6" x14ac:dyDescent="0.35">
      <c r="A49" s="13" t="s">
        <v>219</v>
      </c>
      <c r="D49" t="str">
        <f>_xlfn.TEXTJOIN("",FALSE,"""",TRIM(A49),""",")</f>
        <v>"COPIED FILE FEE - C72529 OPTION FUNDING ONLY",</v>
      </c>
      <c r="F49" t="str">
        <f>_xlfn.TEXTJOIN("",FALSE,"update dbo.MCLProductCodes set ProductType='Credit Reports' where ProductCode='",TRIM(A49),"'")</f>
        <v>update dbo.MCLProductCodes set ProductType='Credit Reports' where ProductCode='COPIED FILE FEE - C72529 OPTION FUNDING ONLY'</v>
      </c>
    </row>
    <row r="50" spans="1:6" x14ac:dyDescent="0.35">
      <c r="A50" s="14" t="s">
        <v>26</v>
      </c>
      <c r="D50" t="str">
        <f>_xlfn.TEXTJOIN("",FALSE,"""",TRIM(A50),""",")</f>
        <v>"COPIED FILE FEE - CENTIER BANK JW111",</v>
      </c>
      <c r="F50" t="str">
        <f>_xlfn.TEXTJOIN("",FALSE,"update dbo.MCLProductCodes set ProductType='Credit Reports' where ProductCode='",TRIM(A50),"'")</f>
        <v>update dbo.MCLProductCodes set ProductType='Credit Reports' where ProductCode='COPIED FILE FEE - CENTIER BANK JW111'</v>
      </c>
    </row>
    <row r="51" spans="1:6" x14ac:dyDescent="0.35">
      <c r="A51" s="14" t="s">
        <v>350</v>
      </c>
      <c r="D51" t="str">
        <f>_xlfn.TEXTJOIN("",FALSE,"""",TRIM(A51),""",")</f>
        <v>"COPIED FILE FEE - CHOICE MORTGAGE 71184",</v>
      </c>
      <c r="F51" t="str">
        <f>_xlfn.TEXTJOIN("",FALSE,"update dbo.MCLProductCodes set ProductType='Credit Reports' where ProductCode='",TRIM(A51),"'")</f>
        <v>update dbo.MCLProductCodes set ProductType='Credit Reports' where ProductCode='COPIED FILE FEE - CHOICE MORTGAGE 71184'</v>
      </c>
    </row>
    <row r="52" spans="1:6" x14ac:dyDescent="0.35">
      <c r="A52" s="13" t="s">
        <v>341</v>
      </c>
      <c r="D52" t="str">
        <f>_xlfn.TEXTJOIN("",FALSE,"""",TRIM(A52),""",")</f>
        <v>"COPIED FILE FEE - COASTAL LOANS LLC 71174",</v>
      </c>
      <c r="F52" t="str">
        <f>_xlfn.TEXTJOIN("",FALSE,"update dbo.MCLProductCodes set ProductType='Credit Reports' where ProductCode='",TRIM(A52),"'")</f>
        <v>update dbo.MCLProductCodes set ProductType='Credit Reports' where ProductCode='COPIED FILE FEE - COASTAL LOANS LLC 71174'</v>
      </c>
    </row>
    <row r="53" spans="1:6" x14ac:dyDescent="0.35">
      <c r="A53" s="14" t="s">
        <v>1115</v>
      </c>
      <c r="D53" t="str">
        <f>_xlfn.TEXTJOIN("",FALSE,"""",TRIM(A53),""",")</f>
        <v>"COPIED FILE FEE - COASTAL LOANS, LLC",</v>
      </c>
      <c r="F53" t="str">
        <f>_xlfn.TEXTJOIN("",FALSE,"update dbo.MCLProductCodes set ProductType='Credit Reports' where ProductCode='",TRIM(A53),"'")</f>
        <v>update dbo.MCLProductCodes set ProductType='Credit Reports' where ProductCode='COPIED FILE FEE - COASTAL LOANS, LLC'</v>
      </c>
    </row>
    <row r="54" spans="1:6" x14ac:dyDescent="0.35">
      <c r="A54" s="14" t="s">
        <v>1116</v>
      </c>
      <c r="D54" t="str">
        <f>_xlfn.TEXTJOIN("",FALSE,"""",TRIM(A54),""",")</f>
        <v>"COPIED FILE FEE - DELMAR MORTGAGE ONLY",</v>
      </c>
      <c r="F54" t="str">
        <f>_xlfn.TEXTJOIN("",FALSE,"update dbo.MCLProductCodes set ProductType='Credit Reports' where ProductCode='",TRIM(A54),"'")</f>
        <v>update dbo.MCLProductCodes set ProductType='Credit Reports' where ProductCode='COPIED FILE FEE - DELMAR MORTGAGE ONLY'</v>
      </c>
    </row>
    <row r="55" spans="1:6" x14ac:dyDescent="0.35">
      <c r="A55" s="14" t="s">
        <v>106</v>
      </c>
      <c r="D55" t="str">
        <f>_xlfn.TEXTJOIN("",FALSE,"""",TRIM(A55),""",")</f>
        <v>"COPIED FILE FEE - EVERGREEN HOME LOANS PR165",</v>
      </c>
      <c r="F55" t="str">
        <f>_xlfn.TEXTJOIN("",FALSE,"update dbo.MCLProductCodes set ProductType='Credit Reports' where ProductCode='",TRIM(A55),"'")</f>
        <v>update dbo.MCLProductCodes set ProductType='Credit Reports' where ProductCode='COPIED FILE FEE - EVERGREEN HOME LOANS PR165'</v>
      </c>
    </row>
    <row r="56" spans="1:6" x14ac:dyDescent="0.35">
      <c r="A56" s="13" t="s">
        <v>245</v>
      </c>
      <c r="D56" t="str">
        <f>_xlfn.TEXTJOIN("",FALSE,"""",TRIM(A56),""",")</f>
        <v>"COPIED FILE FEE - FA114 ALTITUDE FINANCIAL ONLY",</v>
      </c>
      <c r="F56" t="str">
        <f>_xlfn.TEXTJOIN("",FALSE,"update dbo.MCLProductCodes set ProductType='Credit Reports' where ProductCode='",TRIM(A56),"'")</f>
        <v>update dbo.MCLProductCodes set ProductType='Credit Reports' where ProductCode='COPIED FILE FEE - FA114 ALTITUDE FINANCIAL ONLY'</v>
      </c>
    </row>
    <row r="57" spans="1:6" x14ac:dyDescent="0.35">
      <c r="A57" s="13" t="s">
        <v>127</v>
      </c>
      <c r="D57" t="str">
        <f>_xlfn.TEXTJOIN("",FALSE,"""",TRIM(A57),""",")</f>
        <v>"COPIED FILE FEE - FBC MORTGAGE AND ALL SUBS",</v>
      </c>
      <c r="F57" t="str">
        <f>_xlfn.TEXTJOIN("",FALSE,"update dbo.MCLProductCodes set ProductType='Credit Reports' where ProductCode='",TRIM(A57),"'")</f>
        <v>update dbo.MCLProductCodes set ProductType='Credit Reports' where ProductCode='COPIED FILE FEE - FBC MORTGAGE AND ALL SUBS'</v>
      </c>
    </row>
    <row r="58" spans="1:6" x14ac:dyDescent="0.35">
      <c r="A58" s="13" t="s">
        <v>46</v>
      </c>
      <c r="D58" t="str">
        <f>_xlfn.TEXTJOIN("",FALSE,"""",TRIM(A58),""",")</f>
        <v>"COPIED FILE FEE - FBC MORTGAGE AND ALL SUBS ONLY",</v>
      </c>
      <c r="F58" t="str">
        <f>_xlfn.TEXTJOIN("",FALSE,"update dbo.MCLProductCodes set ProductType='Credit Reports' where ProductCode='",TRIM(A58),"'")</f>
        <v>update dbo.MCLProductCodes set ProductType='Credit Reports' where ProductCode='COPIED FILE FEE - FBC MORTGAGE AND ALL SUBS ONLY'</v>
      </c>
    </row>
    <row r="59" spans="1:6" x14ac:dyDescent="0.35">
      <c r="A59" s="14" t="s">
        <v>1117</v>
      </c>
      <c r="D59" t="str">
        <f>_xlfn.TEXTJOIN("",FALSE,"""",TRIM(A59),""",")</f>
        <v>"COPIED FILE FEE - FUSION HOME LOANS",</v>
      </c>
      <c r="F59" t="str">
        <f>_xlfn.TEXTJOIN("",FALSE,"update dbo.MCLProductCodes set ProductType='Credit Reports' where ProductCode='",TRIM(A59),"'")</f>
        <v>update dbo.MCLProductCodes set ProductType='Credit Reports' where ProductCode='COPIED FILE FEE - FUSION HOME LOANS'</v>
      </c>
    </row>
    <row r="60" spans="1:6" x14ac:dyDescent="0.35">
      <c r="A60" s="14" t="s">
        <v>349</v>
      </c>
      <c r="D60" t="str">
        <f>_xlfn.TEXTJOIN("",FALSE,"""",TRIM(A60),""",")</f>
        <v>"COPIED FILE FEE - HIGHLANDS RESIDENTIAL TX584",</v>
      </c>
      <c r="F60" t="str">
        <f>_xlfn.TEXTJOIN("",FALSE,"update dbo.MCLProductCodes set ProductType='Credit Reports' where ProductCode='",TRIM(A60),"'")</f>
        <v>update dbo.MCLProductCodes set ProductType='Credit Reports' where ProductCode='COPIED FILE FEE - HIGHLANDS RESIDENTIAL TX584'</v>
      </c>
    </row>
    <row r="61" spans="1:6" x14ac:dyDescent="0.35">
      <c r="A61" s="14" t="s">
        <v>1118</v>
      </c>
      <c r="D61" t="str">
        <f>_xlfn.TEXTJOIN("",FALSE,"""",TRIM(A61),""",")</f>
        <v>"COPIED FILE FEE - HOMEOWNERS FINANCIAL GROUP",</v>
      </c>
      <c r="F61" t="str">
        <f>_xlfn.TEXTJOIN("",FALSE,"update dbo.MCLProductCodes set ProductType='Credit Reports' where ProductCode='",TRIM(A61),"'")</f>
        <v>update dbo.MCLProductCodes set ProductType='Credit Reports' where ProductCode='COPIED FILE FEE - HOMEOWNERS FINANCIAL GROUP'</v>
      </c>
    </row>
    <row r="62" spans="1:6" x14ac:dyDescent="0.35">
      <c r="A62" s="13" t="s">
        <v>322</v>
      </c>
      <c r="D62" t="str">
        <f>_xlfn.TEXTJOIN("",FALSE,"""",TRIM(A62),""",")</f>
        <v>"COPIED FILE FEE - HOMEOWNERS MORTGAGE 71180",</v>
      </c>
      <c r="F62" t="str">
        <f>_xlfn.TEXTJOIN("",FALSE,"update dbo.MCLProductCodes set ProductType='Credit Reports' where ProductCode='",TRIM(A62),"'")</f>
        <v>update dbo.MCLProductCodes set ProductType='Credit Reports' where ProductCode='COPIED FILE FEE - HOMEOWNERS MORTGAGE 71180'</v>
      </c>
    </row>
    <row r="63" spans="1:6" x14ac:dyDescent="0.35">
      <c r="A63" s="14" t="s">
        <v>1119</v>
      </c>
      <c r="D63" t="str">
        <f>_xlfn.TEXTJOIN("",FALSE,"""",TRIM(A63),""",")</f>
        <v>"COPIED FILE FEE - HOMEOWNERS MORTGAGE, LLC",</v>
      </c>
      <c r="F63" t="str">
        <f>_xlfn.TEXTJOIN("",FALSE,"update dbo.MCLProductCodes set ProductType='Credit Reports' where ProductCode='",TRIM(A63),"'")</f>
        <v>update dbo.MCLProductCodes set ProductType='Credit Reports' where ProductCode='COPIED FILE FEE - HOMEOWNERS MORTGAGE, LLC'</v>
      </c>
    </row>
    <row r="64" spans="1:6" x14ac:dyDescent="0.35">
      <c r="A64" s="13" t="s">
        <v>221</v>
      </c>
      <c r="D64" t="str">
        <f>_xlfn.TEXTJOIN("",FALSE,"""",TRIM(A64),""",")</f>
        <v>"COPIED FILE FEE - JET HOMELOANS LLC 71166",</v>
      </c>
      <c r="F64" t="str">
        <f>_xlfn.TEXTJOIN("",FALSE,"update dbo.MCLProductCodes set ProductType='Credit Reports' where ProductCode='",TRIM(A64),"'")</f>
        <v>update dbo.MCLProductCodes set ProductType='Credit Reports' where ProductCode='COPIED FILE FEE - JET HOMELOANS LLC 71166'</v>
      </c>
    </row>
    <row r="65" spans="1:6" x14ac:dyDescent="0.35">
      <c r="A65" s="13" t="s">
        <v>1120</v>
      </c>
      <c r="D65" t="str">
        <f>_xlfn.TEXTJOIN("",FALSE,"""",TRIM(A65),""",")</f>
        <v>"COPIED FILE FEE - JET HOMELOANS, LP 71166",</v>
      </c>
      <c r="F65" t="str">
        <f>_xlfn.TEXTJOIN("",FALSE,"update dbo.MCLProductCodes set ProductType='Credit Reports' where ProductCode='",TRIM(A65),"'")</f>
        <v>update dbo.MCLProductCodes set ProductType='Credit Reports' where ProductCode='COPIED FILE FEE - JET HOMELOANS, LP 71166'</v>
      </c>
    </row>
    <row r="66" spans="1:6" x14ac:dyDescent="0.35">
      <c r="A66" s="14" t="s">
        <v>1121</v>
      </c>
      <c r="D66" t="str">
        <f>_xlfn.TEXTJOIN("",FALSE,"""",TRIM(A66),""",")</f>
        <v>"COPIED FILE FEE - JET HOMELOANS, LP 71209",</v>
      </c>
      <c r="F66" t="str">
        <f>_xlfn.TEXTJOIN("",FALSE,"update dbo.MCLProductCodes set ProductType='Credit Reports' where ProductCode='",TRIM(A66),"'")</f>
        <v>update dbo.MCLProductCodes set ProductType='Credit Reports' where ProductCode='COPIED FILE FEE - JET HOMELOANS, LP 71209'</v>
      </c>
    </row>
    <row r="67" spans="1:6" x14ac:dyDescent="0.35">
      <c r="A67" s="13" t="s">
        <v>218</v>
      </c>
      <c r="D67" t="str">
        <f>_xlfn.TEXTJOIN("",FALSE,"""",TRIM(A67),""",")</f>
        <v>"COPIED FILE FEE - JW111 CENTIER BANK ONLY",</v>
      </c>
      <c r="F67" t="str">
        <f>_xlfn.TEXTJOIN("",FALSE,"update dbo.MCLProductCodes set ProductType='Credit Reports' where ProductCode='",TRIM(A67),"'")</f>
        <v>update dbo.MCLProductCodes set ProductType='Credit Reports' where ProductCode='COPIED FILE FEE - JW111 CENTIER BANK ONLY'</v>
      </c>
    </row>
    <row r="68" spans="1:6" x14ac:dyDescent="0.35">
      <c r="A68" s="13" t="s">
        <v>47</v>
      </c>
      <c r="D68" t="str">
        <f>_xlfn.TEXTJOIN("",FALSE,"""",TRIM(A68),""",")</f>
        <v>"COPIED FILE FEE - LIBERTY HOME LOANS 71200",</v>
      </c>
      <c r="F68" t="str">
        <f>_xlfn.TEXTJOIN("",FALSE,"update dbo.MCLProductCodes set ProductType='Credit Reports' where ProductCode='",TRIM(A68),"'")</f>
        <v>update dbo.MCLProductCodes set ProductType='Credit Reports' where ProductCode='COPIED FILE FEE - LIBERTY HOME LOANS 71200'</v>
      </c>
    </row>
    <row r="69" spans="1:6" x14ac:dyDescent="0.35">
      <c r="A69" s="13" t="s">
        <v>1122</v>
      </c>
      <c r="D69" t="str">
        <f>_xlfn.TEXTJOIN("",FALSE,"""",TRIM(A69),""",")</f>
        <v>"COPIED FILE FEE - LIBERTY HOME LOANS, LLC 71200",</v>
      </c>
      <c r="F69" t="str">
        <f>_xlfn.TEXTJOIN("",FALSE,"update dbo.MCLProductCodes set ProductType='Credit Reports' where ProductCode='",TRIM(A69),"'")</f>
        <v>update dbo.MCLProductCodes set ProductType='Credit Reports' where ProductCode='COPIED FILE FEE - LIBERTY HOME LOANS, LLC 71200'</v>
      </c>
    </row>
    <row r="70" spans="1:6" x14ac:dyDescent="0.35">
      <c r="A70" s="13" t="s">
        <v>158</v>
      </c>
      <c r="D70" t="str">
        <f>_xlfn.TEXTJOIN("",FALSE,"""",TRIM(A70),""",")</f>
        <v>"COPIED FILE FEE - METRO ISLAND MORTGAGE MP110",</v>
      </c>
      <c r="F70" t="str">
        <f>_xlfn.TEXTJOIN("",FALSE,"update dbo.MCLProductCodes set ProductType='Credit Reports' where ProductCode='",TRIM(A70),"'")</f>
        <v>update dbo.MCLProductCodes set ProductType='Credit Reports' where ProductCode='COPIED FILE FEE - METRO ISLAND MORTGAGE MP110'</v>
      </c>
    </row>
    <row r="71" spans="1:6" x14ac:dyDescent="0.35">
      <c r="A71" s="13" t="s">
        <v>264</v>
      </c>
      <c r="D71" t="str">
        <f>_xlfn.TEXTJOIN("",FALSE,"""",TRIM(A71),""",")</f>
        <v>"COPIED FILE FEE - MHC MORTGAGE LLC 71187",</v>
      </c>
      <c r="F71" t="str">
        <f>_xlfn.TEXTJOIN("",FALSE,"update dbo.MCLProductCodes set ProductType='Credit Reports' where ProductCode='",TRIM(A71),"'")</f>
        <v>update dbo.MCLProductCodes set ProductType='Credit Reports' where ProductCode='COPIED FILE FEE - MHC MORTGAGE LLC 71187'</v>
      </c>
    </row>
    <row r="72" spans="1:6" x14ac:dyDescent="0.35">
      <c r="A72" s="13" t="s">
        <v>1123</v>
      </c>
      <c r="D72" t="str">
        <f>_xlfn.TEXTJOIN("",FALSE,"""",TRIM(A72),""",")</f>
        <v>"COPIED FILE FEE - MHC MORTGAGE, LLC 71187",</v>
      </c>
      <c r="F72" t="str">
        <f>_xlfn.TEXTJOIN("",FALSE,"update dbo.MCLProductCodes set ProductType='Credit Reports' where ProductCode='",TRIM(A72),"'")</f>
        <v>update dbo.MCLProductCodes set ProductType='Credit Reports' where ProductCode='COPIED FILE FEE - MHC MORTGAGE, LLC 71187'</v>
      </c>
    </row>
    <row r="73" spans="1:6" x14ac:dyDescent="0.35">
      <c r="A73" s="13" t="s">
        <v>112</v>
      </c>
      <c r="D73" t="str">
        <f>_xlfn.TEXTJOIN("",FALSE,"""",TRIM(A73),""",")</f>
        <v>"COPIED FILE FEE - MORTGAGE LENDERS INVSTMNT 71164",</v>
      </c>
      <c r="F73" t="str">
        <f>_xlfn.TEXTJOIN("",FALSE,"update dbo.MCLProductCodes set ProductType='Credit Reports' where ProductCode='",TRIM(A73),"'")</f>
        <v>update dbo.MCLProductCodes set ProductType='Credit Reports' where ProductCode='COPIED FILE FEE - MORTGAGE LENDERS INVSTMNT 71164'</v>
      </c>
    </row>
    <row r="74" spans="1:6" x14ac:dyDescent="0.35">
      <c r="A74" s="13" t="s">
        <v>23</v>
      </c>
      <c r="D74" t="str">
        <f>_xlfn.TEXTJOIN("",FALSE,"""",TRIM(A74),""",")</f>
        <v>"COPIED FILE FEE - MP110 METRO ISLAND MORTGAGE ONLY",</v>
      </c>
      <c r="F74" t="str">
        <f>_xlfn.TEXTJOIN("",FALSE,"update dbo.MCLProductCodes set ProductType='Credit Reports' where ProductCode='",TRIM(A74),"'")</f>
        <v>update dbo.MCLProductCodes set ProductType='Credit Reports' where ProductCode='COPIED FILE FEE - MP110 METRO ISLAND MORTGAGE ONLY'</v>
      </c>
    </row>
    <row r="75" spans="1:6" x14ac:dyDescent="0.35">
      <c r="A75" s="13" t="s">
        <v>1124</v>
      </c>
      <c r="D75" t="str">
        <f>_xlfn.TEXTJOIN("",FALSE,"""",TRIM(A75),""",")</f>
        <v>"COPIED FILE FEE - MY LOAN UNDERWRITERS C22404",</v>
      </c>
      <c r="F75" t="str">
        <f>_xlfn.TEXTJOIN("",FALSE,"update dbo.MCLProductCodes set ProductType='Credit Reports' where ProductCode='",TRIM(A75),"'")</f>
        <v>update dbo.MCLProductCodes set ProductType='Credit Reports' where ProductCode='COPIED FILE FEE - MY LOAN UNDERWRITERS C22404'</v>
      </c>
    </row>
    <row r="76" spans="1:6" x14ac:dyDescent="0.35">
      <c r="A76" s="14" t="s">
        <v>1125</v>
      </c>
      <c r="D76" t="str">
        <f>_xlfn.TEXTJOIN("",FALSE,"""",TRIM(A76),""",")</f>
        <v>"COPIED FILE FEE - NOVA HOME LOANS",</v>
      </c>
      <c r="F76" t="str">
        <f>_xlfn.TEXTJOIN("",FALSE,"update dbo.MCLProductCodes set ProductType='Credit Reports' where ProductCode='",TRIM(A76),"'")</f>
        <v>update dbo.MCLProductCodes set ProductType='Credit Reports' where ProductCode='COPIED FILE FEE - NOVA HOME LOANS'</v>
      </c>
    </row>
    <row r="77" spans="1:6" x14ac:dyDescent="0.35">
      <c r="A77" s="14" t="s">
        <v>355</v>
      </c>
      <c r="D77" t="str">
        <f>_xlfn.TEXTJOIN("",FALSE,"""",TRIM(A77),""",")</f>
        <v>"COPIED FILE FEE - OPTION FUNDING C22529 ONLY",</v>
      </c>
      <c r="F77" t="str">
        <f>_xlfn.TEXTJOIN("",FALSE,"update dbo.MCLProductCodes set ProductType='Credit Reports' where ProductCode='",TRIM(A77),"'")</f>
        <v>update dbo.MCLProductCodes set ProductType='Credit Reports' where ProductCode='COPIED FILE FEE - OPTION FUNDING C22529 ONLY'</v>
      </c>
    </row>
    <row r="78" spans="1:6" x14ac:dyDescent="0.35">
      <c r="A78" s="14" t="s">
        <v>59</v>
      </c>
      <c r="D78" t="str">
        <f>_xlfn.TEXTJOIN("",FALSE,"""",TRIM(A78),""",")</f>
        <v>"COPIED FILE FEE - OPTION FUNDING C72529 ONLY",</v>
      </c>
      <c r="F78" t="str">
        <f>_xlfn.TEXTJOIN("",FALSE,"update dbo.MCLProductCodes set ProductType='Credit Reports' where ProductCode='",TRIM(A78),"'")</f>
        <v>update dbo.MCLProductCodes set ProductType='Credit Reports' where ProductCode='COPIED FILE FEE - OPTION FUNDING C72529 ONLY'</v>
      </c>
    </row>
    <row r="79" spans="1:6" x14ac:dyDescent="0.35">
      <c r="A79" s="14" t="s">
        <v>1126</v>
      </c>
      <c r="D79" t="str">
        <f>_xlfn.TEXTJOIN("",FALSE,"""",TRIM(A79),""",")</f>
        <v>"COPIED FILE FEE - PARK SQUARE HOME MORTGAGE, LLC",</v>
      </c>
      <c r="F79" t="str">
        <f>_xlfn.TEXTJOIN("",FALSE,"update dbo.MCLProductCodes set ProductType='Credit Reports' where ProductCode='",TRIM(A79),"'")</f>
        <v>update dbo.MCLProductCodes set ProductType='Credit Reports' where ProductCode='COPIED FILE FEE - PARK SQUARE HOME MORTGAGE, LLC'</v>
      </c>
    </row>
    <row r="80" spans="1:6" x14ac:dyDescent="0.35">
      <c r="A80" s="13" t="s">
        <v>323</v>
      </c>
      <c r="D80" t="str">
        <f>_xlfn.TEXTJOIN("",FALSE,"""",TRIM(A80),""",")</f>
        <v>"COPIED FILE FEE - PARK SQUARE HOME MTG 71137",</v>
      </c>
      <c r="F80" t="str">
        <f>_xlfn.TEXTJOIN("",FALSE,"update dbo.MCLProductCodes set ProductType='Credit Reports' where ProductCode='",TRIM(A80),"'")</f>
        <v>update dbo.MCLProductCodes set ProductType='Credit Reports' where ProductCode='COPIED FILE FEE - PARK SQUARE HOME MTG 71137'</v>
      </c>
    </row>
    <row r="81" spans="1:6" x14ac:dyDescent="0.35">
      <c r="A81" s="13" t="s">
        <v>174</v>
      </c>
      <c r="D81" t="str">
        <f>_xlfn.TEXTJOIN("",FALSE,"""",TRIM(A81),""",")</f>
        <v>"COPIED FILE FEE - PR156 WATERMARK CAPITAL ONLY",</v>
      </c>
      <c r="F81" t="str">
        <f>_xlfn.TEXTJOIN("",FALSE,"update dbo.MCLProductCodes set ProductType='Credit Reports' where ProductCode='",TRIM(A81),"'")</f>
        <v>update dbo.MCLProductCodes set ProductType='Credit Reports' where ProductCode='COPIED FILE FEE - PR156 WATERMARK CAPITAL ONLY'</v>
      </c>
    </row>
    <row r="82" spans="1:6" x14ac:dyDescent="0.35">
      <c r="A82" s="13" t="s">
        <v>199</v>
      </c>
      <c r="D82" t="str">
        <f>_xlfn.TEXTJOIN("",FALSE,"""",TRIM(A82),""",")</f>
        <v>"COPIED FILE FEE - PR165 EVERGREEN HOME LOANS ONLY",</v>
      </c>
      <c r="F82" t="str">
        <f>_xlfn.TEXTJOIN("",FALSE,"update dbo.MCLProductCodes set ProductType='Credit Reports' where ProductCode='",TRIM(A82),"'")</f>
        <v>update dbo.MCLProductCodes set ProductType='Credit Reports' where ProductCode='COPIED FILE FEE - PR165 EVERGREEN HOME LOANS ONLY'</v>
      </c>
    </row>
    <row r="83" spans="1:6" x14ac:dyDescent="0.35">
      <c r="A83" s="14" t="s">
        <v>300</v>
      </c>
      <c r="D83" t="str">
        <f>_xlfn.TEXTJOIN("",FALSE,"""",TRIM(A83),""",")</f>
        <v>"COPIED FILE FEE - RESIDENTIAL MTG NETWORK YS101",</v>
      </c>
      <c r="F83" t="str">
        <f>_xlfn.TEXTJOIN("",FALSE,"update dbo.MCLProductCodes set ProductType='Credit Reports' where ProductCode='",TRIM(A83),"'")</f>
        <v>update dbo.MCLProductCodes set ProductType='Credit Reports' where ProductCode='COPIED FILE FEE - RESIDENTIAL MTG NETWORK YS101'</v>
      </c>
    </row>
    <row r="84" spans="1:6" x14ac:dyDescent="0.35">
      <c r="A84" s="13" t="s">
        <v>342</v>
      </c>
      <c r="D84" t="str">
        <f>_xlfn.TEXTJOIN("",FALSE,"""",TRIM(A84),""",")</f>
        <v>"COPIED FILE FEE - RMC HOME MORTGAGE 71169",</v>
      </c>
      <c r="F84" t="str">
        <f>_xlfn.TEXTJOIN("",FALSE,"update dbo.MCLProductCodes set ProductType='Credit Reports' where ProductCode='",TRIM(A84),"'")</f>
        <v>update dbo.MCLProductCodes set ProductType='Credit Reports' where ProductCode='COPIED FILE FEE - RMC HOME MORTGAGE 71169'</v>
      </c>
    </row>
    <row r="85" spans="1:6" x14ac:dyDescent="0.35">
      <c r="A85" s="14" t="s">
        <v>1127</v>
      </c>
      <c r="D85" t="str">
        <f>_xlfn.TEXTJOIN("",FALSE,"""",TRIM(A85),""",")</f>
        <v>"COPIED FILE FEE - RMC HOME MORTGAGE, LLC",</v>
      </c>
      <c r="F85" t="str">
        <f>_xlfn.TEXTJOIN("",FALSE,"update dbo.MCLProductCodes set ProductType='Credit Reports' where ProductCode='",TRIM(A85),"'")</f>
        <v>update dbo.MCLProductCodes set ProductType='Credit Reports' where ProductCode='COPIED FILE FEE - RMC HOME MORTGAGE, LLC'</v>
      </c>
    </row>
    <row r="86" spans="1:6" x14ac:dyDescent="0.35">
      <c r="A86" s="14" t="s">
        <v>1128</v>
      </c>
      <c r="D86" t="str">
        <f>_xlfn.TEXTJOIN("",FALSE,"""",TRIM(A86),""",")</f>
        <v>"COPIED FILE FEE - SECURITY NATIONAL",</v>
      </c>
      <c r="F86" t="str">
        <f>_xlfn.TEXTJOIN("",FALSE,"update dbo.MCLProductCodes set ProductType='Credit Reports' where ProductCode='",TRIM(A86),"'")</f>
        <v>update dbo.MCLProductCodes set ProductType='Credit Reports' where ProductCode='COPIED FILE FEE - SECURITY NATIONAL'</v>
      </c>
    </row>
    <row r="87" spans="1:6" x14ac:dyDescent="0.35">
      <c r="A87" s="14" t="s">
        <v>130</v>
      </c>
      <c r="D87" t="str">
        <f>_xlfn.TEXTJOIN("",FALSE,"""",TRIM(A87),""",")</f>
        <v>"COPIED FILE FEE - SUN WEST MORTGAGE 9011",</v>
      </c>
      <c r="F87" t="str">
        <f>_xlfn.TEXTJOIN("",FALSE,"update dbo.MCLProductCodes set ProductType='Credit Reports' where ProductCode='",TRIM(A87),"'")</f>
        <v>update dbo.MCLProductCodes set ProductType='Credit Reports' where ProductCode='COPIED FILE FEE - SUN WEST MORTGAGE 9011'</v>
      </c>
    </row>
    <row r="88" spans="1:6" x14ac:dyDescent="0.35">
      <c r="A88" s="14" t="s">
        <v>299</v>
      </c>
      <c r="D88" t="str">
        <f>_xlfn.TEXTJOIN("",FALSE,"""",TRIM(A88),""",")</f>
        <v>"COPIED FILE FEE - THE MONEY HOUSE MP111",</v>
      </c>
      <c r="F88" t="str">
        <f>_xlfn.TEXTJOIN("",FALSE,"update dbo.MCLProductCodes set ProductType='Credit Reports' where ProductCode='",TRIM(A88),"'")</f>
        <v>update dbo.MCLProductCodes set ProductType='Credit Reports' where ProductCode='COPIED FILE FEE - THE MONEY HOUSE MP111'</v>
      </c>
    </row>
    <row r="89" spans="1:6" x14ac:dyDescent="0.35">
      <c r="A89" s="13" t="s">
        <v>48</v>
      </c>
      <c r="D89" t="str">
        <f>_xlfn.TEXTJOIN("",FALSE,"""",TRIM(A89),""",")</f>
        <v>"COPIED FILE FEE - TRAILBLAZER MORTGAGE 71168",</v>
      </c>
      <c r="F89" t="str">
        <f>_xlfn.TEXTJOIN("",FALSE,"update dbo.MCLProductCodes set ProductType='Credit Reports' where ProductCode='",TRIM(A89),"'")</f>
        <v>update dbo.MCLProductCodes set ProductType='Credit Reports' where ProductCode='COPIED FILE FEE - TRAILBLAZER MORTGAGE 71168'</v>
      </c>
    </row>
    <row r="90" spans="1:6" x14ac:dyDescent="0.35">
      <c r="A90" s="14" t="s">
        <v>1129</v>
      </c>
      <c r="D90" t="str">
        <f>_xlfn.TEXTJOIN("",FALSE,"""",TRIM(A90),""",")</f>
        <v>"COPIED FILE FEE - TRAILBLAZER MORTGAGE LLC",</v>
      </c>
      <c r="F90" t="str">
        <f>_xlfn.TEXTJOIN("",FALSE,"update dbo.MCLProductCodes set ProductType='Credit Reports' where ProductCode='",TRIM(A90),"'")</f>
        <v>update dbo.MCLProductCodes set ProductType='Credit Reports' where ProductCode='COPIED FILE FEE - TRAILBLAZER MORTGAGE LLC'</v>
      </c>
    </row>
    <row r="91" spans="1:6" x14ac:dyDescent="0.35">
      <c r="A91" s="13" t="s">
        <v>216</v>
      </c>
      <c r="D91" t="str">
        <f>_xlfn.TEXTJOIN("",FALSE,"""",TRIM(A91),""",")</f>
        <v>"COPIED FILE FEE - TX584 HIGHLANDS RESIDENTIAL ONLY",</v>
      </c>
      <c r="F91" t="str">
        <f>_xlfn.TEXTJOIN("",FALSE,"update dbo.MCLProductCodes set ProductType='Credit Reports' where ProductCode='",TRIM(A91),"'")</f>
        <v>update dbo.MCLProductCodes set ProductType='Credit Reports' where ProductCode='COPIED FILE FEE - TX584 HIGHLANDS RESIDENTIAL ONLY'</v>
      </c>
    </row>
    <row r="92" spans="1:6" x14ac:dyDescent="0.35">
      <c r="A92" s="13" t="s">
        <v>95</v>
      </c>
      <c r="D92" t="str">
        <f>_xlfn.TEXTJOIN("",FALSE,"""",TRIM(A92),""",")</f>
        <v>"COPIED FILE FEE - WATERMARK CAPITAL PR156",</v>
      </c>
      <c r="F92" t="str">
        <f>_xlfn.TEXTJOIN("",FALSE,"update dbo.MCLProductCodes set ProductType='Credit Reports' where ProductCode='",TRIM(A92),"'")</f>
        <v>update dbo.MCLProductCodes set ProductType='Credit Reports' where ProductCode='COPIED FILE FEE - WATERMARK CAPITAL PR156'</v>
      </c>
    </row>
    <row r="93" spans="1:6" x14ac:dyDescent="0.35">
      <c r="A93" s="13" t="s">
        <v>208</v>
      </c>
      <c r="D93" t="str">
        <f>_xlfn.TEXTJOIN("",FALSE,"""",TRIM(A93),""",")</f>
        <v>"COPIED FILE FEE - YS101 RESIDENTIAL MTG NETWORK",</v>
      </c>
      <c r="F93" t="str">
        <f>_xlfn.TEXTJOIN("",FALSE,"update dbo.MCLProductCodes set ProductType='Credit Reports' where ProductCode='",TRIM(A93),"'")</f>
        <v>update dbo.MCLProductCodes set ProductType='Credit Reports' where ProductCode='COPIED FILE FEE - YS101 RESIDENTIAL MTG NETWORK'</v>
      </c>
    </row>
    <row r="94" spans="1:6" x14ac:dyDescent="0.35">
      <c r="A94" s="13" t="s">
        <v>1130</v>
      </c>
      <c r="D94" t="str">
        <f>_xlfn.TEXTJOIN("",FALSE,"""",TRIM(A94),""",")</f>
        <v>"COPIED FILE FEE-SERVICE FIRST MORTGAGE &amp; ALL SUBS",</v>
      </c>
      <c r="F94" t="str">
        <f>_xlfn.TEXTJOIN("",FALSE,"update dbo.MCLProductCodes set ProductType='Credit Reports' where ProductCode='",TRIM(A94),"'")</f>
        <v>update dbo.MCLProductCodes set ProductType='Credit Reports' where ProductCode='COPIED FILE FEE-SERVICE FIRST MORTGAGE &amp; ALL SUBS'</v>
      </c>
    </row>
    <row r="95" spans="1:6" x14ac:dyDescent="0.35">
      <c r="A95" s="13" t="s">
        <v>1131</v>
      </c>
      <c r="D95" t="str">
        <f>_xlfn.TEXTJOIN("",FALSE,"""",TRIM(A95),""",")</f>
        <v>"COPY FILE FEE - SECURITY NATIONAL",</v>
      </c>
      <c r="F95" t="str">
        <f>_xlfn.TEXTJOIN("",FALSE,"update dbo.MCLProductCodes set ProductType='Credit Reports' where ProductCode='",TRIM(A95),"'")</f>
        <v>update dbo.MCLProductCodes set ProductType='Credit Reports' where ProductCode='COPY FILE FEE - SECURITY NATIONAL'</v>
      </c>
    </row>
    <row r="96" spans="1:6" x14ac:dyDescent="0.35">
      <c r="A96" s="14" t="s">
        <v>271</v>
      </c>
      <c r="B96" t="s">
        <v>422</v>
      </c>
      <c r="D96" t="str">
        <f>_xlfn.TEXTJOIN("",FALSE,"""",TRIM(A96),""",")</f>
        <v>"CREDIT",</v>
      </c>
      <c r="F96" t="str">
        <f>_xlfn.TEXTJOIN("",FALSE,"update dbo.MCLProductCodes set ProductType='Credit Reports' where ProductCode='",TRIM(A96),"'")</f>
        <v>update dbo.MCLProductCodes set ProductType='Credit Reports' where ProductCode='CREDIT'</v>
      </c>
    </row>
    <row r="97" spans="1:6" x14ac:dyDescent="0.35">
      <c r="A97" s="14" t="s">
        <v>295</v>
      </c>
      <c r="D97" t="str">
        <f>_xlfn.TEXTJOIN("",FALSE,"""",TRIM(A97),""",")</f>
        <v>"CREDIT SOLUTIONS BUNDLE",</v>
      </c>
      <c r="F97" t="str">
        <f>_xlfn.TEXTJOIN("",FALSE,"update dbo.MCLProductCodes set ProductType='Credit Reports' where ProductCode='",TRIM(A97),"'")</f>
        <v>update dbo.MCLProductCodes set ProductType='Credit Reports' where ProductCode='CREDIT SOLUTIONS BUNDLE'</v>
      </c>
    </row>
    <row r="98" spans="1:6" x14ac:dyDescent="0.35">
      <c r="A98" s="13" t="s">
        <v>117</v>
      </c>
      <c r="D98" t="str">
        <f>_xlfn.TEXTJOIN("",FALSE,"""",TRIM(A98),""",")</f>
        <v>"DELETE BORROWER",</v>
      </c>
      <c r="F98" t="str">
        <f>_xlfn.TEXTJOIN("",FALSE,"update dbo.MCLProductCodes set ProductType='Credit Reports' where ProductCode='",TRIM(A98),"'")</f>
        <v>update dbo.MCLProductCodes set ProductType='Credit Reports' where ProductCode='DELETE BORROWER'</v>
      </c>
    </row>
    <row r="99" spans="1:6" x14ac:dyDescent="0.35">
      <c r="A99" s="14" t="s">
        <v>14</v>
      </c>
      <c r="D99" t="str">
        <f>_xlfn.TEXTJOIN("",FALSE,"""",TRIM(A99),""",")</f>
        <v>"DELETE DUPLICATES",</v>
      </c>
      <c r="F99" t="str">
        <f>_xlfn.TEXTJOIN("",FALSE,"update dbo.MCLProductCodes set ProductType='Credit Reports' where ProductCode='",TRIM(A99),"'")</f>
        <v>update dbo.MCLProductCodes set ProductType='Credit Reports' where ProductCode='DELETE DUPLICATES'</v>
      </c>
    </row>
    <row r="100" spans="1:6" x14ac:dyDescent="0.35">
      <c r="A100" s="13" t="s">
        <v>36</v>
      </c>
      <c r="D100" t="str">
        <f>_xlfn.TEXTJOIN("",FALSE,"""",TRIM(A100),""",")</f>
        <v>"DELETED BORROWER",</v>
      </c>
      <c r="F100" t="str">
        <f>_xlfn.TEXTJOIN("",FALSE,"update dbo.MCLProductCodes set ProductType='Credit Reports' where ProductCode='",TRIM(A100),"'")</f>
        <v>update dbo.MCLProductCodes set ProductType='Credit Reports' where ProductCode='DELETED BORROWER'</v>
      </c>
    </row>
    <row r="101" spans="1:6" x14ac:dyDescent="0.35">
      <c r="A101" s="14" t="s">
        <v>214</v>
      </c>
      <c r="D101" t="str">
        <f>_xlfn.TEXTJOIN("",FALSE,"""",TRIM(A101),""",")</f>
        <v>"DELETED DUPLICATES",</v>
      </c>
      <c r="F101" t="str">
        <f>_xlfn.TEXTJOIN("",FALSE,"update dbo.MCLProductCodes set ProductType='Credit Reports' where ProductCode='",TRIM(A101),"'")</f>
        <v>update dbo.MCLProductCodes set ProductType='Credit Reports' where ProductCode='DELETED DUPLICATES'</v>
      </c>
    </row>
    <row r="102" spans="1:6" x14ac:dyDescent="0.35">
      <c r="A102" s="13" t="s">
        <v>92</v>
      </c>
      <c r="D102" t="str">
        <f>_xlfn.TEXTJOIN("",FALSE,"""",TRIM(A102),""",")</f>
        <v>"DISCLOSURE/MAIL FEE",</v>
      </c>
      <c r="F102" t="str">
        <f>_xlfn.TEXTJOIN("",FALSE,"update dbo.MCLProductCodes set ProductType='Credit Reports' where ProductCode='",TRIM(A102),"'")</f>
        <v>update dbo.MCLProductCodes set ProductType='Credit Reports' where ProductCode='DISCLOSURE/MAIL FEE'</v>
      </c>
    </row>
    <row r="103" spans="1:6" x14ac:dyDescent="0.35">
      <c r="A103" s="13" t="s">
        <v>182</v>
      </c>
      <c r="D103" t="str">
        <f>_xlfn.TEXTJOIN("",FALSE,"""",TRIM(A103),""",")</f>
        <v>"DISCLOSURE/MAIL FEE - PER CONSUMER",</v>
      </c>
      <c r="F103" t="str">
        <f>_xlfn.TEXTJOIN("",FALSE,"update dbo.MCLProductCodes set ProductType='Credit Reports' where ProductCode='",TRIM(A103),"'")</f>
        <v>update dbo.MCLProductCodes set ProductType='Credit Reports' where ProductCode='DISCLOSURE/MAIL FEE - PER CONSUMER'</v>
      </c>
    </row>
    <row r="104" spans="1:6" x14ac:dyDescent="0.35">
      <c r="A104" s="13" t="s">
        <v>178</v>
      </c>
      <c r="D104" t="str">
        <f>_xlfn.TEXTJOIN("",FALSE,"""",TRIM(A104),""",")</f>
        <v>"DISCLOSURE/MAIL FEE-JNT",</v>
      </c>
      <c r="F104" t="str">
        <f>_xlfn.TEXTJOIN("",FALSE,"update dbo.MCLProductCodes set ProductType='Credit Reports' where ProductCode='",TRIM(A104),"'")</f>
        <v>update dbo.MCLProductCodes set ProductType='Credit Reports' where ProductCode='DISCLOSURE/MAIL FEE-JNT'</v>
      </c>
    </row>
    <row r="105" spans="1:6" x14ac:dyDescent="0.35">
      <c r="A105" s="17" t="s">
        <v>50</v>
      </c>
      <c r="D105" t="str">
        <f>_xlfn.TEXTJOIN("",FALSE,"""",TRIM(A105),""",")</f>
        <v>"EPASS-ORDER",</v>
      </c>
      <c r="F105" t="str">
        <f>_xlfn.TEXTJOIN("",FALSE,"update dbo.MCLProductCodes set ProductType='Credit Reports' where ProductCode='",TRIM(A105),"'")</f>
        <v>update dbo.MCLProductCodes set ProductType='Credit Reports' where ProductCode='EPASS-ORDER'</v>
      </c>
    </row>
    <row r="106" spans="1:6" x14ac:dyDescent="0.35">
      <c r="A106" s="17" t="s">
        <v>329</v>
      </c>
      <c r="D106" t="str">
        <f>_xlfn.TEXTJOIN("",FALSE,"""",TRIM(A106),""",")</f>
        <v>"EPASS-RETRIEVE",</v>
      </c>
      <c r="F106" t="str">
        <f>_xlfn.TEXTJOIN("",FALSE,"update dbo.MCLProductCodes set ProductType='Credit Reports' where ProductCode='",TRIM(A106),"'")</f>
        <v>update dbo.MCLProductCodes set ProductType='Credit Reports' where ProductCode='EPASS-RETRIEVE'</v>
      </c>
    </row>
    <row r="107" spans="1:6" x14ac:dyDescent="0.35">
      <c r="A107" s="14" t="s">
        <v>141</v>
      </c>
      <c r="D107" t="str">
        <f>_xlfn.TEXTJOIN("",FALSE,"""",TRIM(A107),""",")</f>
        <v>"EQF",</v>
      </c>
      <c r="F107" t="str">
        <f>_xlfn.TEXTJOIN("",FALSE,"update dbo.MCLProductCodes set ProductType='Credit Reports' where ProductCode='",TRIM(A107),"'")</f>
        <v>update dbo.MCLProductCodes set ProductType='Credit Reports' where ProductCode='EQF'</v>
      </c>
    </row>
    <row r="108" spans="1:6" x14ac:dyDescent="0.35">
      <c r="A108" s="14" t="s">
        <v>143</v>
      </c>
      <c r="D108" t="str">
        <f>_xlfn.TEXTJOIN("",FALSE,"""",TRIM(A108),""",")</f>
        <v>"EQF/JNT",</v>
      </c>
      <c r="F108" t="str">
        <f>_xlfn.TEXTJOIN("",FALSE,"update dbo.MCLProductCodes set ProductType='Credit Reports' where ProductCode='",TRIM(A108),"'")</f>
        <v>update dbo.MCLProductCodes set ProductType='Credit Reports' where ProductCode='EQF/JNT'</v>
      </c>
    </row>
    <row r="109" spans="1:6" x14ac:dyDescent="0.35">
      <c r="A109" s="14" t="s">
        <v>1103</v>
      </c>
      <c r="D109" t="str">
        <f>_xlfn.TEXTJOIN("",FALSE,"""",TRIM(A109),""",")</f>
        <v>"EQF/JNT-SOFT",</v>
      </c>
      <c r="F109" t="str">
        <f>_xlfn.TEXTJOIN("",FALSE,"update dbo.MCLProductCodes set ProductType='Credit Reports' where ProductCode='",TRIM(A109),"'")</f>
        <v>update dbo.MCLProductCodes set ProductType='Credit Reports' where ProductCode='EQF/JNT-SOFT'</v>
      </c>
    </row>
    <row r="110" spans="1:6" x14ac:dyDescent="0.35">
      <c r="A110" s="14" t="s">
        <v>269</v>
      </c>
      <c r="D110" t="str">
        <f>_xlfn.TEXTJOIN("",FALSE,"""",TRIM(A110),""",")</f>
        <v>"EQF/TUC",</v>
      </c>
      <c r="F110" t="str">
        <f>_xlfn.TEXTJOIN("",FALSE,"update dbo.MCLProductCodes set ProductType='Credit Reports' where ProductCode='",TRIM(A110),"'")</f>
        <v>update dbo.MCLProductCodes set ProductType='Credit Reports' where ProductCode='EQF/TUC'</v>
      </c>
    </row>
    <row r="111" spans="1:6" x14ac:dyDescent="0.35">
      <c r="A111" s="14" t="s">
        <v>332</v>
      </c>
      <c r="D111" t="str">
        <f>_xlfn.TEXTJOIN("",FALSE,"""",TRIM(A111),""",")</f>
        <v>"EQF/TUC/JNT",</v>
      </c>
      <c r="F111" t="str">
        <f>_xlfn.TEXTJOIN("",FALSE,"update dbo.MCLProductCodes set ProductType='Credit Reports' where ProductCode='",TRIM(A111),"'")</f>
        <v>update dbo.MCLProductCodes set ProductType='Credit Reports' where ProductCode='EQF/TUC/JNT'</v>
      </c>
    </row>
    <row r="112" spans="1:6" x14ac:dyDescent="0.35">
      <c r="A112" s="14" t="s">
        <v>1105</v>
      </c>
      <c r="D112" t="str">
        <f>_xlfn.TEXTJOIN("",FALSE,"""",TRIM(A112),""",")</f>
        <v>"EQF/TUC/JNT-SOFT",</v>
      </c>
      <c r="F112" t="str">
        <f>_xlfn.TEXTJOIN("",FALSE,"update dbo.MCLProductCodes set ProductType='Credit Reports' where ProductCode='",TRIM(A112),"'")</f>
        <v>update dbo.MCLProductCodes set ProductType='Credit Reports' where ProductCode='EQF/TUC/JNT-SOFT'</v>
      </c>
    </row>
    <row r="113" spans="1:6" x14ac:dyDescent="0.35">
      <c r="A113" s="14" t="s">
        <v>1104</v>
      </c>
      <c r="D113" t="str">
        <f>_xlfn.TEXTJOIN("",FALSE,"""",TRIM(A113),""",")</f>
        <v>"EQF/TUC-SOFT",</v>
      </c>
      <c r="F113" t="str">
        <f>_xlfn.TEXTJOIN("",FALSE,"update dbo.MCLProductCodes set ProductType='Credit Reports' where ProductCode='",TRIM(A113),"'")</f>
        <v>update dbo.MCLProductCodes set ProductType='Credit Reports' where ProductCode='EQF/TUC-SOFT'</v>
      </c>
    </row>
    <row r="114" spans="1:6" x14ac:dyDescent="0.35">
      <c r="A114" s="14" t="s">
        <v>1102</v>
      </c>
      <c r="D114" t="str">
        <f>_xlfn.TEXTJOIN("",FALSE,"""",TRIM(A114),""",")</f>
        <v>"EQF-SOFT",</v>
      </c>
      <c r="F114" t="str">
        <f>_xlfn.TEXTJOIN("",FALSE,"update dbo.MCLProductCodes set ProductType='Credit Reports' where ProductCode='",TRIM(A114),"'")</f>
        <v>update dbo.MCLProductCodes set ProductType='Credit Reports' where ProductCode='EQF-SOFT'</v>
      </c>
    </row>
    <row r="115" spans="1:6" x14ac:dyDescent="0.35">
      <c r="A115" s="14" t="s">
        <v>212</v>
      </c>
      <c r="D115" t="str">
        <f>_xlfn.TEXTJOIN("",FALSE,"""",TRIM(A115),""",")</f>
        <v>"EXP",</v>
      </c>
      <c r="F115" t="str">
        <f>_xlfn.TEXTJOIN("",FALSE,"update dbo.MCLProductCodes set ProductType='Credit Reports' where ProductCode='",TRIM(A115),"'")</f>
        <v>update dbo.MCLProductCodes set ProductType='Credit Reports' where ProductCode='EXP'</v>
      </c>
    </row>
    <row r="116" spans="1:6" x14ac:dyDescent="0.35">
      <c r="A116" s="14" t="s">
        <v>309</v>
      </c>
      <c r="D116" t="str">
        <f>_xlfn.TEXTJOIN("",FALSE,"""",TRIM(A116),""",")</f>
        <v>"EXP/EQF",</v>
      </c>
      <c r="F116" t="str">
        <f>_xlfn.TEXTJOIN("",FALSE,"update dbo.MCLProductCodes set ProductType='Credit Reports' where ProductCode='",TRIM(A116),"'")</f>
        <v>update dbo.MCLProductCodes set ProductType='Credit Reports' where ProductCode='EXP/EQF'</v>
      </c>
    </row>
    <row r="117" spans="1:6" x14ac:dyDescent="0.35">
      <c r="A117" s="14" t="s">
        <v>334</v>
      </c>
      <c r="D117" t="str">
        <f>_xlfn.TEXTJOIN("",FALSE,"""",TRIM(A117),""",")</f>
        <v>"EXP/EQF/JNT",</v>
      </c>
      <c r="F117" t="str">
        <f>_xlfn.TEXTJOIN("",FALSE,"update dbo.MCLProductCodes set ProductType='Credit Reports' where ProductCode='",TRIM(A117),"'")</f>
        <v>update dbo.MCLProductCodes set ProductType='Credit Reports' where ProductCode='EXP/EQF/JNT'</v>
      </c>
    </row>
    <row r="118" spans="1:6" x14ac:dyDescent="0.35">
      <c r="A118" s="14" t="s">
        <v>1108</v>
      </c>
      <c r="D118" t="str">
        <f>_xlfn.TEXTJOIN("",FALSE,"""",TRIM(A118),""",")</f>
        <v>"EXP/EQF/JNT-SOFT",</v>
      </c>
      <c r="F118" t="str">
        <f>_xlfn.TEXTJOIN("",FALSE,"update dbo.MCLProductCodes set ProductType='Credit Reports' where ProductCode='",TRIM(A118),"'")</f>
        <v>update dbo.MCLProductCodes set ProductType='Credit Reports' where ProductCode='EXP/EQF/JNT-SOFT'</v>
      </c>
    </row>
    <row r="119" spans="1:6" x14ac:dyDescent="0.35">
      <c r="A119" s="14" t="s">
        <v>209</v>
      </c>
      <c r="D119" t="str">
        <f>_xlfn.TEXTJOIN("",FALSE,"""",TRIM(A119),""",")</f>
        <v>"EXP/EQF/TUC",</v>
      </c>
      <c r="F119" t="str">
        <f>_xlfn.TEXTJOIN("",FALSE,"update dbo.MCLProductCodes set ProductType='Credit Reports' where ProductCode='",TRIM(A119),"'")</f>
        <v>update dbo.MCLProductCodes set ProductType='Credit Reports' where ProductCode='EXP/EQF/TUC'</v>
      </c>
    </row>
    <row r="120" spans="1:6" x14ac:dyDescent="0.35">
      <c r="A120" s="14" t="s">
        <v>118</v>
      </c>
      <c r="D120" t="str">
        <f>_xlfn.TEXTJOIN("",FALSE,"""",TRIM(A120),""",")</f>
        <v>"EXP/EQF/TUC/JNT",</v>
      </c>
      <c r="F120" t="str">
        <f>_xlfn.TEXTJOIN("",FALSE,"update dbo.MCLProductCodes set ProductType='Credit Reports' where ProductCode='",TRIM(A120),"'")</f>
        <v>update dbo.MCLProductCodes set ProductType='Credit Reports' where ProductCode='EXP/EQF/TUC/JNT'</v>
      </c>
    </row>
    <row r="121" spans="1:6" x14ac:dyDescent="0.35">
      <c r="A121" s="14" t="s">
        <v>1110</v>
      </c>
      <c r="D121" t="str">
        <f>_xlfn.TEXTJOIN("",FALSE,"""",TRIM(A121),""",")</f>
        <v>"EXP/EQF/TUC/JNT-SOFT",</v>
      </c>
      <c r="F121" t="str">
        <f>_xlfn.TEXTJOIN("",FALSE,"update dbo.MCLProductCodes set ProductType='Credit Reports' where ProductCode='",TRIM(A121),"'")</f>
        <v>update dbo.MCLProductCodes set ProductType='Credit Reports' where ProductCode='EXP/EQF/TUC/JNT-SOFT'</v>
      </c>
    </row>
    <row r="122" spans="1:6" x14ac:dyDescent="0.35">
      <c r="A122" s="14" t="s">
        <v>1109</v>
      </c>
      <c r="D122" t="str">
        <f>_xlfn.TEXTJOIN("",FALSE,"""",TRIM(A122),""",")</f>
        <v>"EXP/EQF/TUC-SOFT",</v>
      </c>
      <c r="F122" t="str">
        <f>_xlfn.TEXTJOIN("",FALSE,"update dbo.MCLProductCodes set ProductType='Credit Reports' where ProductCode='",TRIM(A122),"'")</f>
        <v>update dbo.MCLProductCodes set ProductType='Credit Reports' where ProductCode='EXP/EQF/TUC-SOFT'</v>
      </c>
    </row>
    <row r="123" spans="1:6" x14ac:dyDescent="0.35">
      <c r="A123" s="14" t="s">
        <v>1107</v>
      </c>
      <c r="D123" t="str">
        <f>_xlfn.TEXTJOIN("",FALSE,"""",TRIM(A123),""",")</f>
        <v>"EXP/EQF-SOFT",</v>
      </c>
      <c r="F123" t="str">
        <f>_xlfn.TEXTJOIN("",FALSE,"update dbo.MCLProductCodes set ProductType='Credit Reports' where ProductCode='",TRIM(A123),"'")</f>
        <v>update dbo.MCLProductCodes set ProductType='Credit Reports' where ProductCode='EXP/EQF-SOFT'</v>
      </c>
    </row>
    <row r="124" spans="1:6" x14ac:dyDescent="0.35">
      <c r="A124" s="14" t="s">
        <v>249</v>
      </c>
      <c r="D124" t="str">
        <f>_xlfn.TEXTJOIN("",FALSE,"""",TRIM(A124),""",")</f>
        <v>"EXP/JNT",</v>
      </c>
      <c r="F124" t="str">
        <f>_xlfn.TEXTJOIN("",FALSE,"update dbo.MCLProductCodes set ProductType='Credit Reports' where ProductCode='",TRIM(A124),"'")</f>
        <v>update dbo.MCLProductCodes set ProductType='Credit Reports' where ProductCode='EXP/JNT'</v>
      </c>
    </row>
    <row r="125" spans="1:6" x14ac:dyDescent="0.35">
      <c r="A125" s="14" t="s">
        <v>1111</v>
      </c>
      <c r="D125" t="str">
        <f>_xlfn.TEXTJOIN("",FALSE,"""",TRIM(A125),""",")</f>
        <v>"EXP/JNT-SOFT",</v>
      </c>
      <c r="F125" t="str">
        <f>_xlfn.TEXTJOIN("",FALSE,"update dbo.MCLProductCodes set ProductType='Credit Reports' where ProductCode='",TRIM(A125),"'")</f>
        <v>update dbo.MCLProductCodes set ProductType='Credit Reports' where ProductCode='EXP/JNT-SOFT'</v>
      </c>
    </row>
    <row r="126" spans="1:6" x14ac:dyDescent="0.35">
      <c r="A126" s="14" t="s">
        <v>283</v>
      </c>
      <c r="D126" t="str">
        <f>_xlfn.TEXTJOIN("",FALSE,"""",TRIM(A126),""",")</f>
        <v>"EXP/TUC",</v>
      </c>
      <c r="F126" t="str">
        <f>_xlfn.TEXTJOIN("",FALSE,"update dbo.MCLProductCodes set ProductType='Credit Reports' where ProductCode='",TRIM(A126),"'")</f>
        <v>update dbo.MCLProductCodes set ProductType='Credit Reports' where ProductCode='EXP/TUC'</v>
      </c>
    </row>
    <row r="127" spans="1:6" x14ac:dyDescent="0.35">
      <c r="A127" s="14" t="s">
        <v>145</v>
      </c>
      <c r="D127" t="str">
        <f>_xlfn.TEXTJOIN("",FALSE,"""",TRIM(A127),""",")</f>
        <v>"EXP/TUC/JNT",</v>
      </c>
      <c r="F127" t="str">
        <f>_xlfn.TEXTJOIN("",FALSE,"update dbo.MCLProductCodes set ProductType='Credit Reports' where ProductCode='",TRIM(A127),"'")</f>
        <v>update dbo.MCLProductCodes set ProductType='Credit Reports' where ProductCode='EXP/TUC/JNT'</v>
      </c>
    </row>
    <row r="128" spans="1:6" x14ac:dyDescent="0.35">
      <c r="A128" s="14" t="s">
        <v>1113</v>
      </c>
      <c r="D128" t="str">
        <f>_xlfn.TEXTJOIN("",FALSE,"""",TRIM(A128),""",")</f>
        <v>"EXP/TUC/JNT-SOFT",</v>
      </c>
      <c r="F128" t="str">
        <f>_xlfn.TEXTJOIN("",FALSE,"update dbo.MCLProductCodes set ProductType='Credit Reports' where ProductCode='",TRIM(A128),"'")</f>
        <v>update dbo.MCLProductCodes set ProductType='Credit Reports' where ProductCode='EXP/TUC/JNT-SOFT'</v>
      </c>
    </row>
    <row r="129" spans="1:6" x14ac:dyDescent="0.35">
      <c r="A129" s="14" t="s">
        <v>1112</v>
      </c>
      <c r="D129" t="str">
        <f>_xlfn.TEXTJOIN("",FALSE,"""",TRIM(A129),""",")</f>
        <v>"EXP/TUC-SOFT",</v>
      </c>
      <c r="F129" t="str">
        <f>_xlfn.TEXTJOIN("",FALSE,"update dbo.MCLProductCodes set ProductType='Credit Reports' where ProductCode='",TRIM(A129),"'")</f>
        <v>update dbo.MCLProductCodes set ProductType='Credit Reports' where ProductCode='EXP/TUC-SOFT'</v>
      </c>
    </row>
    <row r="130" spans="1:6" x14ac:dyDescent="0.35">
      <c r="A130" s="14" t="s">
        <v>1106</v>
      </c>
      <c r="D130" t="str">
        <f>_xlfn.TEXTJOIN("",FALSE,"""",TRIM(A130),""",")</f>
        <v>"EXP-SOFT",</v>
      </c>
      <c r="F130" t="str">
        <f>_xlfn.TEXTJOIN("",FALSE,"update dbo.MCLProductCodes set ProductType='Credit Reports' where ProductCode='",TRIM(A130),"'")</f>
        <v>update dbo.MCLProductCodes set ProductType='Credit Reports' where ProductCode='EXP-SOFT'</v>
      </c>
    </row>
    <row r="131" spans="1:6" x14ac:dyDescent="0.35">
      <c r="A131" s="14" t="s">
        <v>388</v>
      </c>
      <c r="B131" t="s">
        <v>389</v>
      </c>
      <c r="D131" t="str">
        <f>_xlfn.TEXTJOIN("",FALSE,"""",TRIM(A131),""",")</f>
        <v>"FAMM-B",</v>
      </c>
      <c r="F131" t="str">
        <f>_xlfn.TEXTJOIN("",FALSE,"update dbo.MCLProductCodes set ProductType='Credit Reports' where ProductCode='",TRIM(A131),"'")</f>
        <v>update dbo.MCLProductCodes set ProductType='Credit Reports' where ProductCode='FAMM-B'</v>
      </c>
    </row>
    <row r="132" spans="1:6" x14ac:dyDescent="0.35">
      <c r="A132" s="14" t="s">
        <v>308</v>
      </c>
      <c r="D132" t="str">
        <f>_xlfn.TEXTJOIN("",FALSE,"""",TRIM(A132),""",")</f>
        <v>"FAMM-C",</v>
      </c>
      <c r="F132" t="str">
        <f>_xlfn.TEXTJOIN("",FALSE,"update dbo.MCLProductCodes set ProductType='Credit Reports' where ProductCode='",TRIM(A132),"'")</f>
        <v>update dbo.MCLProductCodes set ProductType='Credit Reports' where ProductCode='FAMM-C'</v>
      </c>
    </row>
    <row r="133" spans="1:6" x14ac:dyDescent="0.35">
      <c r="A133" s="14" t="s">
        <v>390</v>
      </c>
      <c r="B133" t="s">
        <v>391</v>
      </c>
      <c r="D133" t="str">
        <f>_xlfn.TEXTJOIN("",FALSE,"""",TRIM(A133),""",")</f>
        <v>"FAMM-J",</v>
      </c>
      <c r="F133" t="str">
        <f>_xlfn.TEXTJOIN("",FALSE,"update dbo.MCLProductCodes set ProductType='Credit Reports' where ProductCode='",TRIM(A133),"'")</f>
        <v>update dbo.MCLProductCodes set ProductType='Credit Reports' where ProductCode='FAMM-J'</v>
      </c>
    </row>
    <row r="134" spans="1:6" x14ac:dyDescent="0.35">
      <c r="A134" s="13" t="s">
        <v>1171</v>
      </c>
      <c r="D134" t="str">
        <f>_xlfn.TEXTJOIN("",FALSE,"""",TRIM(A134),""",")</f>
        <v>"Fee Adjustment",</v>
      </c>
      <c r="F134" t="str">
        <f>_xlfn.TEXTJOIN("",FALSE,"update dbo.MCLProductCodes set ProductType='Credit Reports' where ProductCode='",TRIM(A134),"'")</f>
        <v>update dbo.MCLProductCodes set ProductType='Credit Reports' where ProductCode='Fee Adjustment'</v>
      </c>
    </row>
    <row r="135" spans="1:6" x14ac:dyDescent="0.35">
      <c r="A135" s="14" t="s">
        <v>190</v>
      </c>
      <c r="D135" t="str">
        <f>_xlfn.TEXTJOIN("",FALSE,"""",TRIM(A135),""",")</f>
        <v>"FHLMC DIRECT LPA REISSUE",</v>
      </c>
      <c r="F135" t="str">
        <f>_xlfn.TEXTJOIN("",FALSE,"update dbo.MCLProductCodes set ProductType='Credit Reports' where ProductCode='",TRIM(A135),"'")</f>
        <v>update dbo.MCLProductCodes set ProductType='Credit Reports' where ProductCode='FHLMC DIRECT LPA REISSUE'</v>
      </c>
    </row>
    <row r="136" spans="1:6" x14ac:dyDescent="0.35">
      <c r="A136" s="14" t="s">
        <v>287</v>
      </c>
      <c r="D136" t="str">
        <f>_xlfn.TEXTJOIN("",FALSE,"""",TRIM(A136),""",")</f>
        <v>"FHLMC DIRECT LQA REISSUE",</v>
      </c>
      <c r="F136" t="str">
        <f>_xlfn.TEXTJOIN("",FALSE,"update dbo.MCLProductCodes set ProductType='Credit Reports' where ProductCode='",TRIM(A136),"'")</f>
        <v>update dbo.MCLProductCodes set ProductType='Credit Reports' where ProductCode='FHLMC DIRECT LQA REISSUE'</v>
      </c>
    </row>
    <row r="137" spans="1:6" x14ac:dyDescent="0.35">
      <c r="A137" s="14" t="s">
        <v>1161</v>
      </c>
      <c r="D137" t="str">
        <f>_xlfn.TEXTJOIN("",FALSE,"""",TRIM(A137),""",")</f>
        <v>"FMAC LP AUS REISSUE",</v>
      </c>
      <c r="F137" t="str">
        <f>_xlfn.TEXTJOIN("",FALSE,"update dbo.MCLProductCodes set ProductType='Credit Reports' where ProductCode='",TRIM(A137),"'")</f>
        <v>update dbo.MCLProductCodes set ProductType='Credit Reports' where ProductCode='FMAC LP AUS REISSUE'</v>
      </c>
    </row>
    <row r="138" spans="1:6" x14ac:dyDescent="0.35">
      <c r="A138" s="13" t="s">
        <v>285</v>
      </c>
      <c r="D138" t="str">
        <f>_xlfn.TEXTJOIN("",FALSE,"""",TRIM(A138),""",")</f>
        <v>"FMAC REISSUE",</v>
      </c>
      <c r="F138" t="str">
        <f>_xlfn.TEXTJOIN("",FALSE,"update dbo.MCLProductCodes set ProductType='Credit Reports' where ProductCode='",TRIM(A138),"'")</f>
        <v>update dbo.MCLProductCodes set ProductType='Credit Reports' where ProductCode='FMAC REISSUE'</v>
      </c>
    </row>
    <row r="139" spans="1:6" x14ac:dyDescent="0.35">
      <c r="A139" s="13" t="s">
        <v>38</v>
      </c>
      <c r="D139" t="str">
        <f>_xlfn.TEXTJOIN("",FALSE,"""",TRIM(A139),""",")</f>
        <v>"FMACI",</v>
      </c>
      <c r="F139" t="str">
        <f>_xlfn.TEXTJOIN("",FALSE,"update dbo.MCLProductCodes set ProductType='Credit Reports' where ProductCode='",TRIM(A139),"'")</f>
        <v>update dbo.MCLProductCodes set ProductType='Credit Reports' where ProductCode='FMACI'</v>
      </c>
    </row>
    <row r="140" spans="1:6" x14ac:dyDescent="0.35">
      <c r="A140" s="13" t="s">
        <v>78</v>
      </c>
      <c r="D140" t="str">
        <f>_xlfn.TEXTJOIN("",FALSE,"""",TRIM(A140),""",")</f>
        <v>"FMACJ",</v>
      </c>
      <c r="F140" t="str">
        <f>_xlfn.TEXTJOIN("",FALSE,"update dbo.MCLProductCodes set ProductType='Credit Reports' where ProductCode='",TRIM(A140),"'")</f>
        <v>update dbo.MCLProductCodes set ProductType='Credit Reports' where ProductCode='FMACJ'</v>
      </c>
    </row>
    <row r="141" spans="1:6" x14ac:dyDescent="0.35">
      <c r="A141" s="14" t="s">
        <v>1160</v>
      </c>
      <c r="D141" t="str">
        <f>_xlfn.TEXTJOIN("",FALSE,"""",TRIM(A141),""",")</f>
        <v>"FNMA AUS CREDIT REISSUE",</v>
      </c>
      <c r="F141" t="str">
        <f>_xlfn.TEXTJOIN("",FALSE,"update dbo.MCLProductCodes set ProductType='Credit Reports' where ProductCode='",TRIM(A141),"'")</f>
        <v>update dbo.MCLProductCodes set ProductType='Credit Reports' where ProductCode='FNMA AUS CREDIT REISSUE'</v>
      </c>
    </row>
    <row r="142" spans="1:6" x14ac:dyDescent="0.35">
      <c r="A142" s="14" t="s">
        <v>1159</v>
      </c>
      <c r="D142" t="str">
        <f>_xlfn.TEXTJOIN("",FALSE,"""",TRIM(A142),""",")</f>
        <v>"FNMA AUS ORDER CREDIT",</v>
      </c>
      <c r="F142" t="str">
        <f>_xlfn.TEXTJOIN("",FALSE,"update dbo.MCLProductCodes set ProductType='Credit Reports' where ProductCode='",TRIM(A142),"'")</f>
        <v>update dbo.MCLProductCodes set ProductType='Credit Reports' where ProductCode='FNMA AUS ORDER CREDIT'</v>
      </c>
    </row>
    <row r="143" spans="1:6" x14ac:dyDescent="0.35">
      <c r="A143" s="14" t="s">
        <v>101</v>
      </c>
      <c r="D143" t="str">
        <f>_xlfn.TEXTJOIN("",FALSE,"""",TRIM(A143),""",")</f>
        <v>"FOREIGN REPORT",</v>
      </c>
      <c r="F143" t="str">
        <f>_xlfn.TEXTJOIN("",FALSE,"update dbo.MCLProductCodes set ProductType='Credit Reports' where ProductCode='",TRIM(A143),"'")</f>
        <v>update dbo.MCLProductCodes set ProductType='Credit Reports' where ProductCode='FOREIGN REPORT'</v>
      </c>
    </row>
    <row r="144" spans="1:6" x14ac:dyDescent="0.35">
      <c r="A144" s="17" t="s">
        <v>201</v>
      </c>
      <c r="B144" t="s">
        <v>1172</v>
      </c>
      <c r="D144" t="str">
        <f>_xlfn.TEXTJOIN("",FALSE,"""",TRIM(A144),""",")</f>
        <v>"INTEGRA DESTINY-ORDER",</v>
      </c>
      <c r="F144" t="str">
        <f>_xlfn.TEXTJOIN("",FALSE,"update dbo.MCLProductCodes set ProductType='Credit Reports' where ProductCode='",TRIM(A144),"'")</f>
        <v>update dbo.MCLProductCodes set ProductType='Credit Reports' where ProductCode='INTEGRA DESTINY-ORDER'</v>
      </c>
    </row>
    <row r="145" spans="1:6" x14ac:dyDescent="0.35">
      <c r="A145" s="17" t="s">
        <v>312</v>
      </c>
      <c r="B145" t="s">
        <v>1172</v>
      </c>
      <c r="D145" t="str">
        <f>_xlfn.TEXTJOIN("",FALSE,"""",TRIM(A145),""",")</f>
        <v>"INTEGRA DESTINY-RETRIEVE",</v>
      </c>
      <c r="F145" t="str">
        <f>_xlfn.TEXTJOIN("",FALSE,"update dbo.MCLProductCodes set ProductType='Credit Reports' where ProductCode='",TRIM(A145),"'")</f>
        <v>update dbo.MCLProductCodes set ProductType='Credit Reports' where ProductCode='INTEGRA DESTINY-RETRIEVE'</v>
      </c>
    </row>
    <row r="146" spans="1:6" x14ac:dyDescent="0.35">
      <c r="A146" s="17" t="s">
        <v>195</v>
      </c>
      <c r="B146" t="s">
        <v>1172</v>
      </c>
      <c r="D146" t="str">
        <f>_xlfn.TEXTJOIN("",FALSE,"""",TRIM(A146),""",")</f>
        <v>"INTERFACE FEE",</v>
      </c>
      <c r="F146" t="str">
        <f>_xlfn.TEXTJOIN("",FALSE,"update dbo.MCLProductCodes set ProductType='Credit Reports' where ProductCode='",TRIM(A146),"'")</f>
        <v>update dbo.MCLProductCodes set ProductType='Credit Reports' where ProductCode='INTERFACE FEE'</v>
      </c>
    </row>
    <row r="147" spans="1:6" x14ac:dyDescent="0.35">
      <c r="A147" s="17" t="s">
        <v>230</v>
      </c>
      <c r="B147" t="s">
        <v>1172</v>
      </c>
      <c r="D147" t="str">
        <f>_xlfn.TEXTJOIN("",FALSE,"""",TRIM(A147),""",")</f>
        <v>"INTERFACE FEE (SMARTPAY)",</v>
      </c>
      <c r="F147" t="str">
        <f>_xlfn.TEXTJOIN("",FALSE,"update dbo.MCLProductCodes set ProductType='Credit Reports' where ProductCode='",TRIM(A147),"'")</f>
        <v>update dbo.MCLProductCodes set ProductType='Credit Reports' where ProductCode='INTERFACE FEE (SMARTPAY)'</v>
      </c>
    </row>
    <row r="148" spans="1:6" x14ac:dyDescent="0.35">
      <c r="A148" s="17" t="s">
        <v>333</v>
      </c>
      <c r="B148" t="s">
        <v>1172</v>
      </c>
      <c r="D148" t="str">
        <f>_xlfn.TEXTJOIN("",FALSE,"""",TRIM(A148),""",")</f>
        <v>"INTERFACE-ORDER",</v>
      </c>
      <c r="F148" t="str">
        <f>_xlfn.TEXTJOIN("",FALSE,"update dbo.MCLProductCodes set ProductType='Credit Reports' where ProductCode='",TRIM(A148),"'")</f>
        <v>update dbo.MCLProductCodes set ProductType='Credit Reports' where ProductCode='INTERFACE-ORDER'</v>
      </c>
    </row>
    <row r="149" spans="1:6" x14ac:dyDescent="0.35">
      <c r="A149" s="17" t="s">
        <v>100</v>
      </c>
      <c r="B149" t="s">
        <v>1172</v>
      </c>
      <c r="D149" t="str">
        <f>_xlfn.TEXTJOIN("",FALSE,"""",TRIM(A149),""",")</f>
        <v>"INTERFACE-RETRIEVE",</v>
      </c>
      <c r="F149" t="str">
        <f>_xlfn.TEXTJOIN("",FALSE,"update dbo.MCLProductCodes set ProductType='Credit Reports' where ProductCode='",TRIM(A149),"'")</f>
        <v>update dbo.MCLProductCodes set ProductType='Credit Reports' where ProductCode='INTERFACE-RETRIEVE'</v>
      </c>
    </row>
    <row r="150" spans="1:6" x14ac:dyDescent="0.35">
      <c r="A150" s="13" t="s">
        <v>345</v>
      </c>
      <c r="D150" t="str">
        <f>_xlfn.TEXTJOIN("",FALSE,"""",TRIM(A150),""",")</f>
        <v>"iSCREEN ORDER",</v>
      </c>
      <c r="F150" t="str">
        <f>_xlfn.TEXTJOIN("",FALSE,"update dbo.MCLProductCodes set ProductType='Credit Reports' where ProductCode='",TRIM(A150),"'")</f>
        <v>update dbo.MCLProductCodes set ProductType='Credit Reports' where ProductCode='iSCREEN ORDER'</v>
      </c>
    </row>
    <row r="151" spans="1:6" x14ac:dyDescent="0.35">
      <c r="A151" s="17" t="s">
        <v>254</v>
      </c>
      <c r="B151" t="s">
        <v>1172</v>
      </c>
      <c r="D151" t="str">
        <f>_xlfn.TEXTJOIN("",FALSE,"""",TRIM(A151),""",")</f>
        <v>"LaserCredit-ORDER",</v>
      </c>
      <c r="F151" t="str">
        <f>_xlfn.TEXTJOIN("",FALSE,"update dbo.MCLProductCodes set ProductType='Credit Reports' where ProductCode='",TRIM(A151),"'")</f>
        <v>update dbo.MCLProductCodes set ProductType='Credit Reports' where ProductCode='LaserCredit-ORDER'</v>
      </c>
    </row>
    <row r="152" spans="1:6" x14ac:dyDescent="0.35">
      <c r="A152" s="17" t="s">
        <v>64</v>
      </c>
      <c r="B152" t="s">
        <v>1172</v>
      </c>
      <c r="D152" t="str">
        <f>_xlfn.TEXTJOIN("",FALSE,"""",TRIM(A152),""",")</f>
        <v>"LaserCredit-RETRIEVE",</v>
      </c>
      <c r="F152" t="str">
        <f>_xlfn.TEXTJOIN("",FALSE,"update dbo.MCLProductCodes set ProductType='Credit Reports' where ProductCode='",TRIM(A152),"'")</f>
        <v>update dbo.MCLProductCodes set ProductType='Credit Reports' where ProductCode='LaserCredit-RETRIEVE'</v>
      </c>
    </row>
    <row r="153" spans="1:6" x14ac:dyDescent="0.35">
      <c r="A153" s="17" t="s">
        <v>115</v>
      </c>
      <c r="B153" t="s">
        <v>1172</v>
      </c>
      <c r="D153" t="str">
        <f>_xlfn.TEXTJOIN("",FALSE,"""",TRIM(A153),""",")</f>
        <v>"LenderHomepage-ORDER",</v>
      </c>
      <c r="F153" t="str">
        <f>_xlfn.TEXTJOIN("",FALSE,"update dbo.MCLProductCodes set ProductType='Credit Reports' where ProductCode='",TRIM(A153),"'")</f>
        <v>update dbo.MCLProductCodes set ProductType='Credit Reports' where ProductCode='LenderHomepage-ORDER'</v>
      </c>
    </row>
    <row r="154" spans="1:6" x14ac:dyDescent="0.35">
      <c r="A154" s="17" t="s">
        <v>156</v>
      </c>
      <c r="B154" t="s">
        <v>1172</v>
      </c>
      <c r="D154" t="str">
        <f>_xlfn.TEXTJOIN("",FALSE,"""",TRIM(A154),""",")</f>
        <v>"LENDER'S OFFICE-ORDER",</v>
      </c>
      <c r="F154" t="str">
        <f>_xlfn.TEXTJOIN("",FALSE,"update dbo.MCLProductCodes set ProductType='Credit Reports' where ProductCode='",TRIM(A154),"'")</f>
        <v>update dbo.MCLProductCodes set ProductType='Credit Reports' where ProductCode='LENDER'S OFFICE-ORDER'</v>
      </c>
    </row>
    <row r="155" spans="1:6" x14ac:dyDescent="0.35">
      <c r="A155" s="13" t="s">
        <v>325</v>
      </c>
      <c r="D155" t="str">
        <f>_xlfn.TEXTJOIN("",FALSE,"""",TRIM(A155),""",")</f>
        <v>"LEVELONE",</v>
      </c>
      <c r="F155" t="str">
        <f>_xlfn.TEXTJOIN("",FALSE,"update dbo.MCLProductCodes set ProductType='Credit Reports' where ProductCode='",TRIM(A155),"'")</f>
        <v>update dbo.MCLProductCodes set ProductType='Credit Reports' where ProductCode='LEVELONE'</v>
      </c>
    </row>
    <row r="156" spans="1:6" x14ac:dyDescent="0.35">
      <c r="A156" s="14" t="s">
        <v>305</v>
      </c>
      <c r="D156" t="str">
        <f>_xlfn.TEXTJOIN("",FALSE,"""",TRIM(A156),""",")</f>
        <v>"LP AUS REISSUE",</v>
      </c>
      <c r="F156" t="str">
        <f>_xlfn.TEXTJOIN("",FALSE,"update dbo.MCLProductCodes set ProductType='Credit Reports' where ProductCode='",TRIM(A156),"'")</f>
        <v>update dbo.MCLProductCodes set ProductType='Credit Reports' where ProductCode='LP AUS REISSUE'</v>
      </c>
    </row>
    <row r="157" spans="1:6" x14ac:dyDescent="0.35">
      <c r="A157" s="13" t="s">
        <v>242</v>
      </c>
      <c r="D157" t="str">
        <f>_xlfn.TEXTJOIN("",FALSE,"""",TRIM(A157),""",")</f>
        <v>"MERGE REPORT FEE",</v>
      </c>
      <c r="F157" t="str">
        <f>_xlfn.TEXTJOIN("",FALSE,"update dbo.MCLProductCodes set ProductType='Credit Reports' where ProductCode='",TRIM(A157),"'")</f>
        <v>update dbo.MCLProductCodes set ProductType='Credit Reports' where ProductCode='MERGE REPORT FEE'</v>
      </c>
    </row>
    <row r="158" spans="1:6" x14ac:dyDescent="0.35">
      <c r="A158" s="14" t="s">
        <v>1132</v>
      </c>
      <c r="D158" t="str">
        <f>_xlfn.TEXTJOIN("",FALSE,"""",TRIM(A158),""",")</f>
        <v>"MERGED FILE FEE - EVERGREEN HOME LOANS PR165",</v>
      </c>
      <c r="F158" t="str">
        <f>_xlfn.TEXTJOIN("",FALSE,"update dbo.MCLProductCodes set ProductType='Credit Reports' where ProductCode='",TRIM(A158),"'")</f>
        <v>update dbo.MCLProductCodes set ProductType='Credit Reports' where ProductCode='MERGED FILE FEE - EVERGREEN HOME LOANS PR165'</v>
      </c>
    </row>
    <row r="159" spans="1:6" x14ac:dyDescent="0.35">
      <c r="A159" s="14" t="s">
        <v>1133</v>
      </c>
      <c r="D159" t="str">
        <f>_xlfn.TEXTJOIN("",FALSE,"""",TRIM(A159),""",")</f>
        <v>"MERGED FILE FEE - SECURITY NATIONAL",</v>
      </c>
      <c r="F159" t="str">
        <f>_xlfn.TEXTJOIN("",FALSE,"update dbo.MCLProductCodes set ProductType='Credit Reports' where ProductCode='",TRIM(A159),"'")</f>
        <v>update dbo.MCLProductCodes set ProductType='Credit Reports' where ProductCode='MERGED FILE FEE - SECURITY NATIONAL'</v>
      </c>
    </row>
    <row r="160" spans="1:6" x14ac:dyDescent="0.35">
      <c r="A160" s="14" t="s">
        <v>331</v>
      </c>
      <c r="D160" t="str">
        <f>_xlfn.TEXTJOIN("",FALSE,"""",TRIM(A160),""",")</f>
        <v>"MERGED REPORT",</v>
      </c>
      <c r="F160" t="str">
        <f>_xlfn.TEXTJOIN("",FALSE,"update dbo.MCLProductCodes set ProductType='Credit Reports' where ProductCode='",TRIM(A160),"'")</f>
        <v>update dbo.MCLProductCodes set ProductType='Credit Reports' where ProductCode='MERGED REPORT'</v>
      </c>
    </row>
    <row r="161" spans="1:6" x14ac:dyDescent="0.35">
      <c r="A161" s="14" t="s">
        <v>1134</v>
      </c>
      <c r="D161" t="str">
        <f>_xlfn.TEXTJOIN("",FALSE,"""",TRIM(A161),""",")</f>
        <v>"MERGED REPORT - CHOICE MORTGAGE 71184",</v>
      </c>
      <c r="F161" t="str">
        <f>_xlfn.TEXTJOIN("",FALSE,"update dbo.MCLProductCodes set ProductType='Credit Reports' where ProductCode='",TRIM(A161),"'")</f>
        <v>update dbo.MCLProductCodes set ProductType='Credit Reports' where ProductCode='MERGED REPORT - CHOICE MORTGAGE 71184'</v>
      </c>
    </row>
    <row r="162" spans="1:6" x14ac:dyDescent="0.35">
      <c r="A162" s="13" t="s">
        <v>1135</v>
      </c>
      <c r="D162" t="str">
        <f>_xlfn.TEXTJOIN("",FALSE,"""",TRIM(A162),""",")</f>
        <v>"MERGED REPORT - MOR LENDING",</v>
      </c>
      <c r="F162" t="str">
        <f>_xlfn.TEXTJOIN("",FALSE,"update dbo.MCLProductCodes set ProductType='Credit Reports' where ProductCode='",TRIM(A162),"'")</f>
        <v>update dbo.MCLProductCodes set ProductType='Credit Reports' where ProductCode='MERGED REPORT - MOR LENDING'</v>
      </c>
    </row>
    <row r="163" spans="1:6" x14ac:dyDescent="0.35">
      <c r="A163" s="14" t="s">
        <v>1136</v>
      </c>
      <c r="D163" t="str">
        <f>_xlfn.TEXTJOIN("",FALSE,"""",TRIM(A163),""",")</f>
        <v>"MERGED REPORT - NOVA HOME LOANS",</v>
      </c>
      <c r="F163" t="str">
        <f>_xlfn.TEXTJOIN("",FALSE,"update dbo.MCLProductCodes set ProductType='Credit Reports' where ProductCode='",TRIM(A163),"'")</f>
        <v>update dbo.MCLProductCodes set ProductType='Credit Reports' where ProductCode='MERGED REPORT - NOVA HOME LOANS'</v>
      </c>
    </row>
    <row r="164" spans="1:6" x14ac:dyDescent="0.35">
      <c r="A164" s="13" t="s">
        <v>293</v>
      </c>
      <c r="D164" t="str">
        <f>_xlfn.TEXTJOIN("",FALSE,"""",TRIM(A164),""",")</f>
        <v>"MERGED REPORT FEE - 71109 CERTIFIED MTG PLANNERS",</v>
      </c>
      <c r="F164" t="str">
        <f>_xlfn.TEXTJOIN("",FALSE,"update dbo.MCLProductCodes set ProductType='Credit Reports' where ProductCode='",TRIM(A164),"'")</f>
        <v>update dbo.MCLProductCodes set ProductType='Credit Reports' where ProductCode='MERGED REPORT FEE - 71109 CERTIFIED MTG PLANNERS'</v>
      </c>
    </row>
    <row r="165" spans="1:6" x14ac:dyDescent="0.35">
      <c r="A165" s="13" t="s">
        <v>161</v>
      </c>
      <c r="D165" t="str">
        <f>_xlfn.TEXTJOIN("",FALSE,"""",TRIM(A165),""",")</f>
        <v>"MERGED REPORT FEE - 71137 PARK SQUARE HM MTG ONLY",</v>
      </c>
      <c r="F165" t="str">
        <f>_xlfn.TEXTJOIN("",FALSE,"update dbo.MCLProductCodes set ProductType='Credit Reports' where ProductCode='",TRIM(A165),"'")</f>
        <v>update dbo.MCLProductCodes set ProductType='Credit Reports' where ProductCode='MERGED REPORT FEE - 71137 PARK SQUARE HM MTG ONLY'</v>
      </c>
    </row>
    <row r="166" spans="1:6" x14ac:dyDescent="0.35">
      <c r="A166" s="13" t="s">
        <v>67</v>
      </c>
      <c r="D166" t="str">
        <f>_xlfn.TEXTJOIN("",FALSE,"""",TRIM(A166),""",")</f>
        <v>"MERGED REPORT FEE - 71153 CHRISTENSEN FINANCIAL",</v>
      </c>
      <c r="F166" t="str">
        <f>_xlfn.TEXTJOIN("",FALSE,"update dbo.MCLProductCodes set ProductType='Credit Reports' where ProductCode='",TRIM(A166),"'")</f>
        <v>update dbo.MCLProductCodes set ProductType='Credit Reports' where ProductCode='MERGED REPORT FEE - 71153 CHRISTENSEN FINANCIAL'</v>
      </c>
    </row>
    <row r="167" spans="1:6" x14ac:dyDescent="0.35">
      <c r="A167" s="13" t="s">
        <v>320</v>
      </c>
      <c r="D167" t="str">
        <f>_xlfn.TEXTJOIN("",FALSE,"""",TRIM(A167),""",")</f>
        <v>"MERGED REPORT FEE - 71166 JET HOMELOANS LLC ONLY",</v>
      </c>
      <c r="F167" t="str">
        <f>_xlfn.TEXTJOIN("",FALSE,"update dbo.MCLProductCodes set ProductType='Credit Reports' where ProductCode='",TRIM(A167),"'")</f>
        <v>update dbo.MCLProductCodes set ProductType='Credit Reports' where ProductCode='MERGED REPORT FEE - 71166 JET HOMELOANS LLC ONLY'</v>
      </c>
    </row>
    <row r="168" spans="1:6" x14ac:dyDescent="0.35">
      <c r="A168" s="13" t="s">
        <v>297</v>
      </c>
      <c r="D168" t="str">
        <f>_xlfn.TEXTJOIN("",FALSE,"""",TRIM(A168),""",")</f>
        <v>"MERGED REPORT FEE - 71168 TRAILBLAZER MTG ONLY",</v>
      </c>
      <c r="F168" t="str">
        <f>_xlfn.TEXTJOIN("",FALSE,"update dbo.MCLProductCodes set ProductType='Credit Reports' where ProductCode='",TRIM(A168),"'")</f>
        <v>update dbo.MCLProductCodes set ProductType='Credit Reports' where ProductCode='MERGED REPORT FEE - 71168 TRAILBLAZER MTG ONLY'</v>
      </c>
    </row>
    <row r="169" spans="1:6" x14ac:dyDescent="0.35">
      <c r="A169" s="13" t="s">
        <v>348</v>
      </c>
      <c r="D169" t="str">
        <f>_xlfn.TEXTJOIN("",FALSE,"""",TRIM(A169),""",")</f>
        <v>"MERGED REPORT FEE - 71169 RMC HOME MORTGAGE ONLY",</v>
      </c>
      <c r="F169" t="str">
        <f>_xlfn.TEXTJOIN("",FALSE,"update dbo.MCLProductCodes set ProductType='Credit Reports' where ProductCode='",TRIM(A169),"'")</f>
        <v>update dbo.MCLProductCodes set ProductType='Credit Reports' where ProductCode='MERGED REPORT FEE - 71169 RMC HOME MORTGAGE ONLY'</v>
      </c>
    </row>
    <row r="170" spans="1:6" x14ac:dyDescent="0.35">
      <c r="A170" s="13" t="s">
        <v>263</v>
      </c>
      <c r="D170" t="str">
        <f>_xlfn.TEXTJOIN("",FALSE,"""",TRIM(A170),""",")</f>
        <v>"MERGED REPORT FEE - 71174 COASTAL LOANS LLC ONLY",</v>
      </c>
      <c r="F170" t="str">
        <f>_xlfn.TEXTJOIN("",FALSE,"update dbo.MCLProductCodes set ProductType='Credit Reports' where ProductCode='",TRIM(A170),"'")</f>
        <v>update dbo.MCLProductCodes set ProductType='Credit Reports' where ProductCode='MERGED REPORT FEE - 71174 COASTAL LOANS LLC ONLY'</v>
      </c>
    </row>
    <row r="171" spans="1:6" x14ac:dyDescent="0.35">
      <c r="A171" s="13" t="s">
        <v>324</v>
      </c>
      <c r="D171" t="str">
        <f>_xlfn.TEXTJOIN("",FALSE,"""",TRIM(A171),""",")</f>
        <v>"MERGED REPORT FEE - 71180 HOMEOWNERS MTG ONLY",</v>
      </c>
      <c r="F171" t="str">
        <f>_xlfn.TEXTJOIN("",FALSE,"update dbo.MCLProductCodes set ProductType='Credit Reports' where ProductCode='",TRIM(A171),"'")</f>
        <v>update dbo.MCLProductCodes set ProductType='Credit Reports' where ProductCode='MERGED REPORT FEE - 71180 HOMEOWNERS MTG ONLY'</v>
      </c>
    </row>
    <row r="172" spans="1:6" x14ac:dyDescent="0.35">
      <c r="A172" s="13" t="s">
        <v>108</v>
      </c>
      <c r="D172" t="str">
        <f>_xlfn.TEXTJOIN("",FALSE,"""",TRIM(A172),""",")</f>
        <v>"MERGED REPORT FEE - 9011 SUN WEST MORTGAGE",</v>
      </c>
      <c r="F172" t="str">
        <f>_xlfn.TEXTJOIN("",FALSE,"update dbo.MCLProductCodes set ProductType='Credit Reports' where ProductCode='",TRIM(A172),"'")</f>
        <v>update dbo.MCLProductCodes set ProductType='Credit Reports' where ProductCode='MERGED REPORT FEE - 9011 SUN WEST MORTGAGE'</v>
      </c>
    </row>
    <row r="173" spans="1:6" x14ac:dyDescent="0.35">
      <c r="A173" s="13" t="s">
        <v>1137</v>
      </c>
      <c r="D173" t="str">
        <f>_xlfn.TEXTJOIN("",FALSE,"""",TRIM(A173),""",")</f>
        <v>"MERGED REPORT FEE - ACRISURE MORTGAGE, LLC",</v>
      </c>
      <c r="F173" t="str">
        <f>_xlfn.TEXTJOIN("",FALSE,"update dbo.MCLProductCodes set ProductType='Credit Reports' where ProductCode='",TRIM(A173),"'")</f>
        <v>update dbo.MCLProductCodes set ProductType='Credit Reports' where ProductCode='MERGED REPORT FEE - ACRISURE MORTGAGE, LLC'</v>
      </c>
    </row>
    <row r="174" spans="1:6" x14ac:dyDescent="0.35">
      <c r="A174" s="13" t="s">
        <v>265</v>
      </c>
      <c r="D174" t="str">
        <f>_xlfn.TEXTJOIN("",FALSE,"""",TRIM(A174),""",")</f>
        <v>"MERGED REPORT FEE - COASTAL LOANS LLC 71174",</v>
      </c>
      <c r="F174" t="str">
        <f>_xlfn.TEXTJOIN("",FALSE,"update dbo.MCLProductCodes set ProductType='Credit Reports' where ProductCode='",TRIM(A174),"'")</f>
        <v>update dbo.MCLProductCodes set ProductType='Credit Reports' where ProductCode='MERGED REPORT FEE - COASTAL LOANS LLC 71174'</v>
      </c>
    </row>
    <row r="175" spans="1:6" x14ac:dyDescent="0.35">
      <c r="A175" s="14" t="s">
        <v>1138</v>
      </c>
      <c r="D175" t="str">
        <f>_xlfn.TEXTJOIN("",FALSE,"""",TRIM(A175),""",")</f>
        <v>"MERGED REPORT FEE - COASTAL LOANS, LLC",</v>
      </c>
      <c r="F175" t="str">
        <f>_xlfn.TEXTJOIN("",FALSE,"update dbo.MCLProductCodes set ProductType='Credit Reports' where ProductCode='",TRIM(A175),"'")</f>
        <v>update dbo.MCLProductCodes set ProductType='Credit Reports' where ProductCode='MERGED REPORT FEE - COASTAL LOANS, LLC'</v>
      </c>
    </row>
    <row r="176" spans="1:6" x14ac:dyDescent="0.35">
      <c r="A176" s="13" t="s">
        <v>321</v>
      </c>
      <c r="D176" t="str">
        <f>_xlfn.TEXTJOIN("",FALSE,"""",TRIM(A176),""",")</f>
        <v>"MERGED REPORT FEE - FA114 ALTITUDE FINANCIAL CORP",</v>
      </c>
      <c r="F176" t="str">
        <f>_xlfn.TEXTJOIN("",FALSE,"update dbo.MCLProductCodes set ProductType='Credit Reports' where ProductCode='",TRIM(A176),"'")</f>
        <v>update dbo.MCLProductCodes set ProductType='Credit Reports' where ProductCode='MERGED REPORT FEE - FA114 ALTITUDE FINANCIAL CORP'</v>
      </c>
    </row>
    <row r="177" spans="1:6" x14ac:dyDescent="0.35">
      <c r="A177" s="13" t="s">
        <v>159</v>
      </c>
      <c r="D177" t="str">
        <f>_xlfn.TEXTJOIN("",FALSE,"""",TRIM(A177),""",")</f>
        <v>"MERGED REPORT FEE - FBC MORTGAGE AND ALL SUBS",</v>
      </c>
      <c r="F177" t="str">
        <f>_xlfn.TEXTJOIN("",FALSE,"update dbo.MCLProductCodes set ProductType='Credit Reports' where ProductCode='",TRIM(A177),"'")</f>
        <v>update dbo.MCLProductCodes set ProductType='Credit Reports' where ProductCode='MERGED REPORT FEE - FBC MORTGAGE AND ALL SUBS'</v>
      </c>
    </row>
    <row r="178" spans="1:6" x14ac:dyDescent="0.35">
      <c r="A178" s="13" t="s">
        <v>134</v>
      </c>
      <c r="D178" t="str">
        <f>_xlfn.TEXTJOIN("",FALSE,"""",TRIM(A178),""",")</f>
        <v>"MERGED REPORT FEE - FBC MORTGAGE AND ALL SUBS ONLY",</v>
      </c>
      <c r="F178" t="str">
        <f>_xlfn.TEXTJOIN("",FALSE,"update dbo.MCLProductCodes set ProductType='Credit Reports' where ProductCode='",TRIM(A178),"'")</f>
        <v>update dbo.MCLProductCodes set ProductType='Credit Reports' where ProductCode='MERGED REPORT FEE - FBC MORTGAGE AND ALL SUBS ONLY'</v>
      </c>
    </row>
    <row r="179" spans="1:6" x14ac:dyDescent="0.35">
      <c r="A179" s="13" t="s">
        <v>1139</v>
      </c>
      <c r="D179" t="str">
        <f>_xlfn.TEXTJOIN("",FALSE,"""",TRIM(A179),""",")</f>
        <v>"MERGED REPORT FEE - FUSION HOME LOANS",</v>
      </c>
      <c r="F179" t="str">
        <f>_xlfn.TEXTJOIN("",FALSE,"update dbo.MCLProductCodes set ProductType='Credit Reports' where ProductCode='",TRIM(A179),"'")</f>
        <v>update dbo.MCLProductCodes set ProductType='Credit Reports' where ProductCode='MERGED REPORT FEE - FUSION HOME LOANS'</v>
      </c>
    </row>
    <row r="180" spans="1:6" x14ac:dyDescent="0.35">
      <c r="A180" s="13" t="s">
        <v>1140</v>
      </c>
      <c r="D180" t="str">
        <f>_xlfn.TEXTJOIN("",FALSE,"""",TRIM(A180),""",")</f>
        <v>"MERGED REPORT FEE - GL FINANCIAL SERVICES",</v>
      </c>
      <c r="F180" t="str">
        <f>_xlfn.TEXTJOIN("",FALSE,"update dbo.MCLProductCodes set ProductType='Credit Reports' where ProductCode='",TRIM(A180),"'")</f>
        <v>update dbo.MCLProductCodes set ProductType='Credit Reports' where ProductCode='MERGED REPORT FEE - GL FINANCIAL SERVICES'</v>
      </c>
    </row>
    <row r="181" spans="1:6" x14ac:dyDescent="0.35">
      <c r="A181" s="14" t="s">
        <v>267</v>
      </c>
      <c r="D181" t="str">
        <f>_xlfn.TEXTJOIN("",FALSE,"""",TRIM(A181),""",")</f>
        <v>"MERGED REPORT FEE - HIGHLANDS RESIDENTIAL TX584",</v>
      </c>
      <c r="F181" t="str">
        <f>_xlfn.TEXTJOIN("",FALSE,"update dbo.MCLProductCodes set ProductType='Credit Reports' where ProductCode='",TRIM(A181),"'")</f>
        <v>update dbo.MCLProductCodes set ProductType='Credit Reports' where ProductCode='MERGED REPORT FEE - HIGHLANDS RESIDENTIAL TX584'</v>
      </c>
    </row>
    <row r="182" spans="1:6" x14ac:dyDescent="0.35">
      <c r="A182" s="14" t="s">
        <v>1141</v>
      </c>
      <c r="D182" t="str">
        <f>_xlfn.TEXTJOIN("",FALSE,"""",TRIM(A182),""",")</f>
        <v>"MERGED REPORT FEE - HOMEOWNERS FINANCIAL GROUP",</v>
      </c>
      <c r="F182" t="str">
        <f>_xlfn.TEXTJOIN("",FALSE,"update dbo.MCLProductCodes set ProductType='Credit Reports' where ProductCode='",TRIM(A182),"'")</f>
        <v>update dbo.MCLProductCodes set ProductType='Credit Reports' where ProductCode='MERGED REPORT FEE - HOMEOWNERS FINANCIAL GROUP'</v>
      </c>
    </row>
    <row r="183" spans="1:6" x14ac:dyDescent="0.35">
      <c r="A183" s="13" t="s">
        <v>1142</v>
      </c>
      <c r="D183" t="str">
        <f>_xlfn.TEXTJOIN("",FALSE,"""",TRIM(A183),""",")</f>
        <v>"MERGED REPORT FEE - HOMEOWNERS MORTGAGE 71180",</v>
      </c>
      <c r="F183" t="str">
        <f>_xlfn.TEXTJOIN("",FALSE,"update dbo.MCLProductCodes set ProductType='Credit Reports' where ProductCode='",TRIM(A183),"'")</f>
        <v>update dbo.MCLProductCodes set ProductType='Credit Reports' where ProductCode='MERGED REPORT FEE - HOMEOWNERS MORTGAGE 71180'</v>
      </c>
    </row>
    <row r="184" spans="1:6" x14ac:dyDescent="0.35">
      <c r="A184" s="14" t="s">
        <v>1143</v>
      </c>
      <c r="D184" t="str">
        <f>_xlfn.TEXTJOIN("",FALSE,"""",TRIM(A184),""",")</f>
        <v>"MERGED REPORT FEE - HOMEOWNERS MORTGAGE, LLC",</v>
      </c>
      <c r="F184" t="str">
        <f>_xlfn.TEXTJOIN("",FALSE,"update dbo.MCLProductCodes set ProductType='Credit Reports' where ProductCode='",TRIM(A184),"'")</f>
        <v>update dbo.MCLProductCodes set ProductType='Credit Reports' where ProductCode='MERGED REPORT FEE - HOMEOWNERS MORTGAGE, LLC'</v>
      </c>
    </row>
    <row r="185" spans="1:6" x14ac:dyDescent="0.35">
      <c r="A185" s="13" t="s">
        <v>162</v>
      </c>
      <c r="D185" t="str">
        <f>_xlfn.TEXTJOIN("",FALSE,"""",TRIM(A185),""",")</f>
        <v>"MERGED REPORT FEE - HOMEOWNERS MTG 71180",</v>
      </c>
      <c r="F185" t="str">
        <f>_xlfn.TEXTJOIN("",FALSE,"update dbo.MCLProductCodes set ProductType='Credit Reports' where ProductCode='",TRIM(A185),"'")</f>
        <v>update dbo.MCLProductCodes set ProductType='Credit Reports' where ProductCode='MERGED REPORT FEE - HOMEOWNERS MTG 71180'</v>
      </c>
    </row>
    <row r="186" spans="1:6" x14ac:dyDescent="0.35">
      <c r="A186" s="13" t="s">
        <v>292</v>
      </c>
      <c r="D186" t="str">
        <f>_xlfn.TEXTJOIN("",FALSE,"""",TRIM(A186),""",")</f>
        <v>"MERGED REPORT FEE - JET HOMELOANS LLC 71166",</v>
      </c>
      <c r="F186" t="str">
        <f>_xlfn.TEXTJOIN("",FALSE,"update dbo.MCLProductCodes set ProductType='Credit Reports' where ProductCode='",TRIM(A186),"'")</f>
        <v>update dbo.MCLProductCodes set ProductType='Credit Reports' where ProductCode='MERGED REPORT FEE - JET HOMELOANS LLC 71166'</v>
      </c>
    </row>
    <row r="187" spans="1:6" x14ac:dyDescent="0.35">
      <c r="A187" s="13" t="s">
        <v>1144</v>
      </c>
      <c r="D187" t="str">
        <f>_xlfn.TEXTJOIN("",FALSE,"""",TRIM(A187),""",")</f>
        <v>"MERGED REPORT FEE - JET HOMELOANS, LP 71166",</v>
      </c>
      <c r="F187" t="str">
        <f>_xlfn.TEXTJOIN("",FALSE,"update dbo.MCLProductCodes set ProductType='Credit Reports' where ProductCode='",TRIM(A187),"'")</f>
        <v>update dbo.MCLProductCodes set ProductType='Credit Reports' where ProductCode='MERGED REPORT FEE - JET HOMELOANS, LP 71166'</v>
      </c>
    </row>
    <row r="188" spans="1:6" x14ac:dyDescent="0.35">
      <c r="A188" s="14" t="s">
        <v>1145</v>
      </c>
      <c r="D188" t="str">
        <f>_xlfn.TEXTJOIN("",FALSE,"""",TRIM(A188),""",")</f>
        <v>"MERGED REPORT FEE - JET HOMELOANS, LP 71209",</v>
      </c>
      <c r="F188" t="str">
        <f>_xlfn.TEXTJOIN("",FALSE,"update dbo.MCLProductCodes set ProductType='Credit Reports' where ProductCode='",TRIM(A188),"'")</f>
        <v>update dbo.MCLProductCodes set ProductType='Credit Reports' where ProductCode='MERGED REPORT FEE - JET HOMELOANS, LP 71209'</v>
      </c>
    </row>
    <row r="189" spans="1:6" x14ac:dyDescent="0.35">
      <c r="A189" s="13" t="s">
        <v>1146</v>
      </c>
      <c r="D189" t="str">
        <f>_xlfn.TEXTJOIN("",FALSE,"""",TRIM(A189),""",")</f>
        <v>"MERGED REPORT FEE - LIBERTY HOME LOANS, LLC 71200",</v>
      </c>
      <c r="F189" t="str">
        <f>_xlfn.TEXTJOIN("",FALSE,"update dbo.MCLProductCodes set ProductType='Credit Reports' where ProductCode='",TRIM(A189),"'")</f>
        <v>update dbo.MCLProductCodes set ProductType='Credit Reports' where ProductCode='MERGED REPORT FEE - LIBERTY HOME LOANS, LLC 71200'</v>
      </c>
    </row>
    <row r="190" spans="1:6" x14ac:dyDescent="0.35">
      <c r="A190" s="13" t="s">
        <v>301</v>
      </c>
      <c r="D190" t="str">
        <f>_xlfn.TEXTJOIN("",FALSE,"""",TRIM(A190),""",")</f>
        <v>"MERGED REPORT FEE - MHC MORTGAGE LLC 71187",</v>
      </c>
      <c r="F190" t="str">
        <f>_xlfn.TEXTJOIN("",FALSE,"update dbo.MCLProductCodes set ProductType='Credit Reports' where ProductCode='",TRIM(A190),"'")</f>
        <v>update dbo.MCLProductCodes set ProductType='Credit Reports' where ProductCode='MERGED REPORT FEE - MHC MORTGAGE LLC 71187'</v>
      </c>
    </row>
    <row r="191" spans="1:6" x14ac:dyDescent="0.35">
      <c r="A191" s="14" t="s">
        <v>346</v>
      </c>
      <c r="D191" t="str">
        <f>_xlfn.TEXTJOIN("",FALSE,"""",TRIM(A191),""",")</f>
        <v>"MERGED REPORT FEE - MORTGAGE LENDERS INVSTMT 71164",</v>
      </c>
      <c r="F191" t="str">
        <f>_xlfn.TEXTJOIN("",FALSE,"update dbo.MCLProductCodes set ProductType='Credit Reports' where ProductCode='",TRIM(A191),"'")</f>
        <v>update dbo.MCLProductCodes set ProductType='Credit Reports' where ProductCode='MERGED REPORT FEE - MORTGAGE LENDERS INVSTMT 71164'</v>
      </c>
    </row>
    <row r="192" spans="1:6" x14ac:dyDescent="0.35">
      <c r="A192" s="14" t="s">
        <v>1147</v>
      </c>
      <c r="D192" t="str">
        <f>_xlfn.TEXTJOIN("",FALSE,"""",TRIM(A192),""",")</f>
        <v>"MERGED REPORT FEE - NOVA HOME LOANS",</v>
      </c>
      <c r="F192" t="str">
        <f>_xlfn.TEXTJOIN("",FALSE,"update dbo.MCLProductCodes set ProductType='Credit Reports' where ProductCode='",TRIM(A192),"'")</f>
        <v>update dbo.MCLProductCodes set ProductType='Credit Reports' where ProductCode='MERGED REPORT FEE - NOVA HOME LOANS'</v>
      </c>
    </row>
    <row r="193" spans="1:6" x14ac:dyDescent="0.35">
      <c r="A193" s="13" t="s">
        <v>266</v>
      </c>
      <c r="D193" t="str">
        <f>_xlfn.TEXTJOIN("",FALSE,"""",TRIM(A193),""",")</f>
        <v>"MERGED REPORT FEE - PARK SQUARE HM MTG 71137",</v>
      </c>
      <c r="F193" t="str">
        <f>_xlfn.TEXTJOIN("",FALSE,"update dbo.MCLProductCodes set ProductType='Credit Reports' where ProductCode='",TRIM(A193),"'")</f>
        <v>update dbo.MCLProductCodes set ProductType='Credit Reports' where ProductCode='MERGED REPORT FEE - PARK SQUARE HM MTG 71137'</v>
      </c>
    </row>
    <row r="194" spans="1:6" x14ac:dyDescent="0.35">
      <c r="A194" s="13" t="s">
        <v>1148</v>
      </c>
      <c r="D194" t="str">
        <f>_xlfn.TEXTJOIN("",FALSE,"""",TRIM(A194),""",")</f>
        <v>"MERGED REPORT FEE - PARK SQUARE HOME MTG 71137",</v>
      </c>
      <c r="F194" t="str">
        <f>_xlfn.TEXTJOIN("",FALSE,"update dbo.MCLProductCodes set ProductType='Credit Reports' where ProductCode='",TRIM(A194),"'")</f>
        <v>update dbo.MCLProductCodes set ProductType='Credit Reports' where ProductCode='MERGED REPORT FEE - PARK SQUARE HOME MTG 71137'</v>
      </c>
    </row>
    <row r="195" spans="1:6" x14ac:dyDescent="0.35">
      <c r="A195" s="13" t="s">
        <v>1149</v>
      </c>
      <c r="D195" t="str">
        <f>_xlfn.TEXTJOIN("",FALSE,"""",TRIM(A195),""",")</f>
        <v>"MERGED REPORT FEE - RESIDENTIAL MTG NETWORK YS101",</v>
      </c>
      <c r="F195" t="str">
        <f>_xlfn.TEXTJOIN("",FALSE,"update dbo.MCLProductCodes set ProductType='Credit Reports' where ProductCode='",TRIM(A195),"'")</f>
        <v>update dbo.MCLProductCodes set ProductType='Credit Reports' where ProductCode='MERGED REPORT FEE - RESIDENTIAL MTG NETWORK YS101'</v>
      </c>
    </row>
    <row r="196" spans="1:6" x14ac:dyDescent="0.35">
      <c r="A196" s="13" t="s">
        <v>317</v>
      </c>
      <c r="D196" t="str">
        <f>_xlfn.TEXTJOIN("",FALSE,"""",TRIM(A196),""",")</f>
        <v>"MERGED REPORT FEE - RMC HOME MORTGAGE 71169",</v>
      </c>
      <c r="F196" t="str">
        <f>_xlfn.TEXTJOIN("",FALSE,"update dbo.MCLProductCodes set ProductType='Credit Reports' where ProductCode='",TRIM(A196),"'")</f>
        <v>update dbo.MCLProductCodes set ProductType='Credit Reports' where ProductCode='MERGED REPORT FEE - RMC HOME MORTGAGE 71169'</v>
      </c>
    </row>
    <row r="197" spans="1:6" x14ac:dyDescent="0.35">
      <c r="A197" s="14" t="s">
        <v>1150</v>
      </c>
      <c r="D197" t="str">
        <f>_xlfn.TEXTJOIN("",FALSE,"""",TRIM(A197),""",")</f>
        <v>"MERGED REPORT FEE - RMC HOME MORTGAGE, LLC",</v>
      </c>
      <c r="F197" t="str">
        <f>_xlfn.TEXTJOIN("",FALSE,"update dbo.MCLProductCodes set ProductType='Credit Reports' where ProductCode='",TRIM(A197),"'")</f>
        <v>update dbo.MCLProductCodes set ProductType='Credit Reports' where ProductCode='MERGED REPORT FEE - RMC HOME MORTGAGE, LLC'</v>
      </c>
    </row>
    <row r="198" spans="1:6" x14ac:dyDescent="0.35">
      <c r="A198" s="14" t="s">
        <v>94</v>
      </c>
      <c r="D198" t="str">
        <f>_xlfn.TEXTJOIN("",FALSE,"""",TRIM(A198),""",")</f>
        <v>"MERGED REPORT FEE - SUN WEST MORTGAGE 9011",</v>
      </c>
      <c r="F198" t="str">
        <f>_xlfn.TEXTJOIN("",FALSE,"update dbo.MCLProductCodes set ProductType='Credit Reports' where ProductCode='",TRIM(A198),"'")</f>
        <v>update dbo.MCLProductCodes set ProductType='Credit Reports' where ProductCode='MERGED REPORT FEE - SUN WEST MORTGAGE 9011'</v>
      </c>
    </row>
    <row r="199" spans="1:6" x14ac:dyDescent="0.35">
      <c r="A199" s="14" t="s">
        <v>1151</v>
      </c>
      <c r="D199" t="str">
        <f>_xlfn.TEXTJOIN("",FALSE,"""",TRIM(A199),""",")</f>
        <v>"MERGED REPORT FEE - THE MORTGAGE FIRM ONLY",</v>
      </c>
      <c r="F199" t="str">
        <f>_xlfn.TEXTJOIN("",FALSE,"update dbo.MCLProductCodes set ProductType='Credit Reports' where ProductCode='",TRIM(A199),"'")</f>
        <v>update dbo.MCLProductCodes set ProductType='Credit Reports' where ProductCode='MERGED REPORT FEE - THE MORTGAGE FIRM ONLY'</v>
      </c>
    </row>
    <row r="200" spans="1:6" x14ac:dyDescent="0.35">
      <c r="A200" s="13" t="s">
        <v>1152</v>
      </c>
      <c r="D200" t="str">
        <f>_xlfn.TEXTJOIN("",FALSE,"""",TRIM(A200),""",")</f>
        <v>"MERGED REPORT FEE - TRAILBLAZER MORTGAGE 71168",</v>
      </c>
      <c r="F200" t="str">
        <f>_xlfn.TEXTJOIN("",FALSE,"update dbo.MCLProductCodes set ProductType='Credit Reports' where ProductCode='",TRIM(A200),"'")</f>
        <v>update dbo.MCLProductCodes set ProductType='Credit Reports' where ProductCode='MERGED REPORT FEE - TRAILBLAZER MORTGAGE 71168'</v>
      </c>
    </row>
    <row r="201" spans="1:6" x14ac:dyDescent="0.35">
      <c r="A201" s="14" t="s">
        <v>1153</v>
      </c>
      <c r="D201" t="str">
        <f>_xlfn.TEXTJOIN("",FALSE,"""",TRIM(A201),""",")</f>
        <v>"MERGED REPORT FEE - TRAILBLAZER MORTGAGE LLC",</v>
      </c>
      <c r="F201" t="str">
        <f>_xlfn.TEXTJOIN("",FALSE,"update dbo.MCLProductCodes set ProductType='Credit Reports' where ProductCode='",TRIM(A201),"'")</f>
        <v>update dbo.MCLProductCodes set ProductType='Credit Reports' where ProductCode='MERGED REPORT FEE - TRAILBLAZER MORTGAGE LLC'</v>
      </c>
    </row>
    <row r="202" spans="1:6" x14ac:dyDescent="0.35">
      <c r="A202" s="13" t="s">
        <v>1154</v>
      </c>
      <c r="D202" t="str">
        <f>_xlfn.TEXTJOIN("",FALSE,"""",TRIM(A202),""",")</f>
        <v>"MERGED REPORT FEE - TRAILBLAZER MTG 71168",</v>
      </c>
      <c r="F202" t="str">
        <f>_xlfn.TEXTJOIN("",FALSE,"update dbo.MCLProductCodes set ProductType='Credit Reports' where ProductCode='",TRIM(A202),"'")</f>
        <v>update dbo.MCLProductCodes set ProductType='Credit Reports' where ProductCode='MERGED REPORT FEE - TRAILBLAZER MTG 71168'</v>
      </c>
    </row>
    <row r="203" spans="1:6" x14ac:dyDescent="0.35">
      <c r="A203" s="13" t="s">
        <v>10</v>
      </c>
      <c r="D203" t="str">
        <f>_xlfn.TEXTJOIN("",FALSE,"""",TRIM(A203),""",")</f>
        <v>"MERGED REPORT FEE - TX584 HIGHLANDS RESIDENTIAL",</v>
      </c>
      <c r="F203" t="str">
        <f>_xlfn.TEXTJOIN("",FALSE,"update dbo.MCLProductCodes set ProductType='Credit Reports' where ProductCode='",TRIM(A203),"'")</f>
        <v>update dbo.MCLProductCodes set ProductType='Credit Reports' where ProductCode='MERGED REPORT FEE - TX584 HIGHLANDS RESIDENTIAL'</v>
      </c>
    </row>
    <row r="204" spans="1:6" x14ac:dyDescent="0.35">
      <c r="A204" s="17" t="s">
        <v>88</v>
      </c>
      <c r="B204" t="s">
        <v>1172</v>
      </c>
      <c r="D204" t="str">
        <f>_xlfn.TEXTJOIN("",FALSE,"""",TRIM(A204),""",")</f>
        <v>"MORTGAGE BUILDER-ORDER",</v>
      </c>
      <c r="F204" t="str">
        <f>_xlfn.TEXTJOIN("",FALSE,"update dbo.MCLProductCodes set ProductType='Credit Reports' where ProductCode='",TRIM(A204),"'")</f>
        <v>update dbo.MCLProductCodes set ProductType='Credit Reports' where ProductCode='MORTGAGE BUILDER-ORDER'</v>
      </c>
    </row>
    <row r="205" spans="1:6" x14ac:dyDescent="0.35">
      <c r="A205" s="17" t="s">
        <v>273</v>
      </c>
      <c r="B205" t="s">
        <v>1172</v>
      </c>
      <c r="D205" t="str">
        <f>_xlfn.TEXTJOIN("",FALSE,"""",TRIM(A205),""",")</f>
        <v>"MORTGAGE BUILDER-RETRIEVE",</v>
      </c>
      <c r="F205" t="str">
        <f>_xlfn.TEXTJOIN("",FALSE,"update dbo.MCLProductCodes set ProductType='Credit Reports' where ProductCode='",TRIM(A205),"'")</f>
        <v>update dbo.MCLProductCodes set ProductType='Credit Reports' where ProductCode='MORTGAGE BUILDER-RETRIEVE'</v>
      </c>
    </row>
    <row r="206" spans="1:6" x14ac:dyDescent="0.35">
      <c r="A206" s="17" t="s">
        <v>237</v>
      </c>
      <c r="B206" t="s">
        <v>1172</v>
      </c>
      <c r="D206" t="str">
        <f>_xlfn.TEXTJOIN("",FALSE,"""",TRIM(A206),""",")</f>
        <v>"MORTGAGEBOT-ORDER",</v>
      </c>
      <c r="F206" t="str">
        <f>_xlfn.TEXTJOIN("",FALSE,"update dbo.MCLProductCodes set ProductType='Credit Reports' where ProductCode='",TRIM(A206),"'")</f>
        <v>update dbo.MCLProductCodes set ProductType='Credit Reports' where ProductCode='MORTGAGEBOT-ORDER'</v>
      </c>
    </row>
    <row r="207" spans="1:6" x14ac:dyDescent="0.35">
      <c r="A207" s="17" t="s">
        <v>42</v>
      </c>
      <c r="B207" t="s">
        <v>1172</v>
      </c>
      <c r="D207" t="str">
        <f>_xlfn.TEXTJOIN("",FALSE,"""",TRIM(A207),""",")</f>
        <v>"MORTGAGEBOT-RETRIEVE",</v>
      </c>
      <c r="F207" t="str">
        <f>_xlfn.TEXTJOIN("",FALSE,"update dbo.MCLProductCodes set ProductType='Credit Reports' where ProductCode='",TRIM(A207),"'")</f>
        <v>update dbo.MCLProductCodes set ProductType='Credit Reports' where ProductCode='MORTGAGEBOT-RETRIEVE'</v>
      </c>
    </row>
    <row r="208" spans="1:6" x14ac:dyDescent="0.35">
      <c r="A208" s="17" t="s">
        <v>110</v>
      </c>
      <c r="B208" t="s">
        <v>1172</v>
      </c>
      <c r="D208" t="str">
        <f>_xlfn.TEXTJOIN("",FALSE,"""",TRIM(A208),""",")</f>
        <v>"MORTGAGEDIRECTOR-ORDER",</v>
      </c>
      <c r="F208" t="str">
        <f>_xlfn.TEXTJOIN("",FALSE,"update dbo.MCLProductCodes set ProductType='Credit Reports' where ProductCode='",TRIM(A208),"'")</f>
        <v>update dbo.MCLProductCodes set ProductType='Credit Reports' where ProductCode='MORTGAGEDIRECTOR-ORDER'</v>
      </c>
    </row>
    <row r="209" spans="1:6" x14ac:dyDescent="0.35">
      <c r="A209" s="17" t="s">
        <v>327</v>
      </c>
      <c r="B209" t="s">
        <v>1172</v>
      </c>
      <c r="D209" t="str">
        <f>_xlfn.TEXTJOIN("",FALSE,"""",TRIM(A209),""",")</f>
        <v>"MORTGAGEDIRECTOR-RETRIEVE",</v>
      </c>
      <c r="F209" t="str">
        <f>_xlfn.TEXTJOIN("",FALSE,"update dbo.MCLProductCodes set ProductType='Credit Reports' where ProductCode='",TRIM(A209),"'")</f>
        <v>update dbo.MCLProductCodes set ProductType='Credit Reports' where ProductCode='MORTGAGEDIRECTOR-RETRIEVE'</v>
      </c>
    </row>
    <row r="210" spans="1:6" x14ac:dyDescent="0.35">
      <c r="A210" s="17" t="s">
        <v>135</v>
      </c>
      <c r="B210" t="s">
        <v>1172</v>
      </c>
      <c r="D210" t="str">
        <f>_xlfn.TEXTJOIN("",FALSE,"""",TRIM(A210),""",")</f>
        <v>"MORTGAGEFLEX-RETRIEVE",</v>
      </c>
      <c r="F210" t="str">
        <f>_xlfn.TEXTJOIN("",FALSE,"update dbo.MCLProductCodes set ProductType='Credit Reports' where ProductCode='",TRIM(A210),"'")</f>
        <v>update dbo.MCLProductCodes set ProductType='Credit Reports' where ProductCode='MORTGAGEFLEX-RETRIEVE'</v>
      </c>
    </row>
    <row r="211" spans="1:6" x14ac:dyDescent="0.35">
      <c r="A211" s="14" t="s">
        <v>1158</v>
      </c>
      <c r="D211" t="str">
        <f>_xlfn.TEXTJOIN("",FALSE,"""",TRIM(A211),""",")</f>
        <v>"MTG RATING",</v>
      </c>
      <c r="F211" t="str">
        <f>_xlfn.TEXTJOIN("",FALSE,"update dbo.MCLProductCodes set ProductType='Credit Reports' where ProductCode='",TRIM(A211),"'")</f>
        <v>update dbo.MCLProductCodes set ProductType='Credit Reports' where ProductCode='MTG RATING'</v>
      </c>
    </row>
    <row r="212" spans="1:6" x14ac:dyDescent="0.35">
      <c r="A212" s="14" t="s">
        <v>202</v>
      </c>
      <c r="D212" t="str">
        <f>_xlfn.TEXTJOIN("",FALSE,"""",TRIM(A212),""",")</f>
        <v>"N/A",</v>
      </c>
      <c r="F212" t="str">
        <f>_xlfn.TEXTJOIN("",FALSE,"update dbo.MCLProductCodes set ProductType='Credit Reports' where ProductCode='",TRIM(A212),"'")</f>
        <v>update dbo.MCLProductCodes set ProductType='Credit Reports' where ProductCode='N/A'</v>
      </c>
    </row>
    <row r="213" spans="1:6" x14ac:dyDescent="0.35">
      <c r="A213" s="14" t="s">
        <v>99</v>
      </c>
      <c r="D213" t="str">
        <f>_xlfn.TEXTJOIN("",FALSE,"""",TRIM(A213),""",")</f>
        <v>"NODOC RESCORE FEE",</v>
      </c>
      <c r="F213" t="str">
        <f>_xlfn.TEXTJOIN("",FALSE,"update dbo.MCLProductCodes set ProductType='Credit Reports' where ProductCode='",TRIM(A213),"'")</f>
        <v>update dbo.MCLProductCodes set ProductType='Credit Reports' where ProductCode='NODOC RESCORE FEE'</v>
      </c>
    </row>
    <row r="214" spans="1:6" x14ac:dyDescent="0.35">
      <c r="A214" s="13" t="s">
        <v>290</v>
      </c>
      <c r="D214" t="str">
        <f>_xlfn.TEXTJOIN("",FALSE,"""",TRIM(A214),""",")</f>
        <v>"OTHERCHARGE",</v>
      </c>
      <c r="F214" t="str">
        <f>_xlfn.TEXTJOIN("",FALSE,"update dbo.MCLProductCodes set ProductType='Credit Reports' where ProductCode='",TRIM(A214),"'")</f>
        <v>update dbo.MCLProductCodes set ProductType='Credit Reports' where ProductCode='OTHERCHARGE'</v>
      </c>
    </row>
    <row r="215" spans="1:6" x14ac:dyDescent="0.35">
      <c r="A215" s="17" t="s">
        <v>155</v>
      </c>
      <c r="B215" t="s">
        <v>1172</v>
      </c>
      <c r="D215" t="str">
        <f>_xlfn.TEXTJOIN("",FALSE,"""",TRIM(A215),""",")</f>
        <v>"POINT WEBCONNECT-ORDER",</v>
      </c>
      <c r="F215" t="str">
        <f>_xlfn.TEXTJOIN("",FALSE,"update dbo.MCLProductCodes set ProductType='Credit Reports' where ProductCode='",TRIM(A215),"'")</f>
        <v>update dbo.MCLProductCodes set ProductType='Credit Reports' where ProductCode='POINT WEBCONNECT-ORDER'</v>
      </c>
    </row>
    <row r="216" spans="1:6" x14ac:dyDescent="0.35">
      <c r="A216" s="17" t="s">
        <v>198</v>
      </c>
      <c r="B216" t="s">
        <v>1172</v>
      </c>
      <c r="D216" t="str">
        <f>_xlfn.TEXTJOIN("",FALSE,"""",TRIM(A216),""",")</f>
        <v>"POINT WEBCONNECT-RETRIEVE",</v>
      </c>
      <c r="F216" t="str">
        <f>_xlfn.TEXTJOIN("",FALSE,"update dbo.MCLProductCodes set ProductType='Credit Reports' where ProductCode='",TRIM(A216),"'")</f>
        <v>update dbo.MCLProductCodes set ProductType='Credit Reports' where ProductCode='POINT WEBCONNECT-RETRIEVE'</v>
      </c>
    </row>
    <row r="217" spans="1:6" x14ac:dyDescent="0.35">
      <c r="A217" s="13" t="s">
        <v>1157</v>
      </c>
      <c r="D217" t="str">
        <f>_xlfn.TEXTJOIN("",FALSE,"""",TRIM(A217),""",")</f>
        <v>"PRE-QUAL REPORTS",</v>
      </c>
      <c r="F217" t="str">
        <f>_xlfn.TEXTJOIN("",FALSE,"update dbo.MCLProductCodes set ProductType='Credit Reports' where ProductCode='",TRIM(A217),"'")</f>
        <v>update dbo.MCLProductCodes set ProductType='Credit Reports' where ProductCode='PRE-QUAL REPORTS'</v>
      </c>
    </row>
    <row r="218" spans="1:6" x14ac:dyDescent="0.35">
      <c r="A218" s="13" t="s">
        <v>63</v>
      </c>
      <c r="B218" s="5" t="s">
        <v>412</v>
      </c>
      <c r="D218" t="str">
        <f>_xlfn.TEXTJOIN("",FALSE,"""",TRIM(A218),""",")</f>
        <v>"PUB EXP FILE",</v>
      </c>
      <c r="F218" t="str">
        <f>_xlfn.TEXTJOIN("",FALSE,"update dbo.MCLProductCodes set ProductType='Credit Reports' where ProductCode='",TRIM(A218),"'")</f>
        <v>update dbo.MCLProductCodes set ProductType='Credit Reports' where ProductCode='PUB EXP FILE'</v>
      </c>
    </row>
    <row r="219" spans="1:6" x14ac:dyDescent="0.35">
      <c r="A219" s="13" t="s">
        <v>244</v>
      </c>
      <c r="B219" s="5" t="s">
        <v>412</v>
      </c>
      <c r="D219" t="str">
        <f>_xlfn.TEXTJOIN("",FALSE,"""",TRIM(A219),""",")</f>
        <v>"PUBLISHED IMPORT",</v>
      </c>
      <c r="F219" t="str">
        <f>_xlfn.TEXTJOIN("",FALSE,"update dbo.MCLProductCodes set ProductType='Credit Reports' where ProductCode='",TRIM(A219),"'")</f>
        <v>update dbo.MCLProductCodes set ProductType='Credit Reports' where ProductCode='PUBLISHED IMPORT'</v>
      </c>
    </row>
    <row r="220" spans="1:6" x14ac:dyDescent="0.35">
      <c r="A220" s="13" t="s">
        <v>353</v>
      </c>
      <c r="D220" t="str">
        <f>_xlfn.TEXTJOIN("",FALSE,"""",TRIM(A220),""",")</f>
        <v>"RAPID RESCORE - MIXED FILE",</v>
      </c>
      <c r="F220" t="str">
        <f>_xlfn.TEXTJOIN("",FALSE,"update dbo.MCLProductCodes set ProductType='Credit Reports' where ProductCode='",TRIM(A220),"'")</f>
        <v>update dbo.MCLProductCodes set ProductType='Credit Reports' where ProductCode='RAPID RESCORE - MIXED FILE'</v>
      </c>
    </row>
    <row r="221" spans="1:6" x14ac:dyDescent="0.35">
      <c r="A221" s="13" t="s">
        <v>163</v>
      </c>
      <c r="D221" t="str">
        <f>_xlfn.TEXTJOIN("",FALSE,"""",TRIM(A221),""",")</f>
        <v>"RAPID RESCORE 1 TRADE/1 BUREAU-IND",</v>
      </c>
      <c r="F221" t="str">
        <f>_xlfn.TEXTJOIN("",FALSE,"update dbo.MCLProductCodes set ProductType='Credit Reports' where ProductCode='",TRIM(A221),"'")</f>
        <v>update dbo.MCLProductCodes set ProductType='Credit Reports' where ProductCode='RAPID RESCORE 1 TRADE/1 BUREAU-IND'</v>
      </c>
    </row>
    <row r="222" spans="1:6" x14ac:dyDescent="0.35">
      <c r="A222" s="13" t="s">
        <v>183</v>
      </c>
      <c r="D222" t="str">
        <f>_xlfn.TEXTJOIN("",FALSE,"""",TRIM(A222),""",")</f>
        <v>"RAPID RESCORE 1 TRADE/3 BUREAUS-IND",</v>
      </c>
      <c r="F222" t="str">
        <f>_xlfn.TEXTJOIN("",FALSE,"update dbo.MCLProductCodes set ProductType='Credit Reports' where ProductCode='",TRIM(A222),"'")</f>
        <v>update dbo.MCLProductCodes set ProductType='Credit Reports' where ProductCode='RAPID RESCORE 1 TRADE/3 BUREAUS-IND'</v>
      </c>
    </row>
    <row r="223" spans="1:6" x14ac:dyDescent="0.35">
      <c r="A223" s="13" t="s">
        <v>184</v>
      </c>
      <c r="D223" t="str">
        <f>_xlfn.TEXTJOIN("",FALSE,"""",TRIM(A223),""",")</f>
        <v>"RAPID RESCORE 1 TRADE/3 BUREAUS-JNT",</v>
      </c>
      <c r="F223" t="str">
        <f>_xlfn.TEXTJOIN("",FALSE,"update dbo.MCLProductCodes set ProductType='Credit Reports' where ProductCode='",TRIM(A223),"'")</f>
        <v>update dbo.MCLProductCodes set ProductType='Credit Reports' where ProductCode='RAPID RESCORE 1 TRADE/3 BUREAUS-JNT'</v>
      </c>
    </row>
    <row r="224" spans="1:6" x14ac:dyDescent="0.35">
      <c r="A224" s="13" t="s">
        <v>132</v>
      </c>
      <c r="D224" t="str">
        <f>_xlfn.TEXTJOIN("",FALSE,"""",TRIM(A224),""",")</f>
        <v>"RAPID RESCORE INDIVIDUAL",</v>
      </c>
      <c r="F224" t="str">
        <f>_xlfn.TEXTJOIN("",FALSE,"update dbo.MCLProductCodes set ProductType='Credit Reports' where ProductCode='",TRIM(A224),"'")</f>
        <v>update dbo.MCLProductCodes set ProductType='Credit Reports' where ProductCode='RAPID RESCORE INDIVIDUAL'</v>
      </c>
    </row>
    <row r="225" spans="1:6" x14ac:dyDescent="0.35">
      <c r="A225" s="13" t="s">
        <v>30</v>
      </c>
      <c r="D225" t="str">
        <f>_xlfn.TEXTJOIN("",FALSE,"""",TRIM(A225),""",")</f>
        <v>"RAPID RESCORE JOINT",</v>
      </c>
      <c r="F225" t="str">
        <f>_xlfn.TEXTJOIN("",FALSE,"update dbo.MCLProductCodes set ProductType='Credit Reports' where ProductCode='",TRIM(A225),"'")</f>
        <v>update dbo.MCLProductCodes set ProductType='Credit Reports' where ProductCode='RAPID RESCORE JOINT'</v>
      </c>
    </row>
    <row r="226" spans="1:6" x14ac:dyDescent="0.35">
      <c r="A226" s="14" t="s">
        <v>191</v>
      </c>
      <c r="D226" t="str">
        <f>_xlfn.TEXTJOIN("",FALSE,"""",TRIM(A226),""",")</f>
        <v>"REFRESH",</v>
      </c>
      <c r="F226" t="str">
        <f>_xlfn.TEXTJOIN("",FALSE,"update dbo.MCLProductCodes set ProductType='Credit Reports' where ProductCode='",TRIM(A226),"'")</f>
        <v>update dbo.MCLProductCodes set ProductType='Credit Reports' where ProductCode='REFRESH'</v>
      </c>
    </row>
    <row r="227" spans="1:6" x14ac:dyDescent="0.35">
      <c r="A227" s="14" t="s">
        <v>328</v>
      </c>
      <c r="D227" t="str">
        <f>_xlfn.TEXTJOIN("",FALSE,"""",TRIM(A227),""",")</f>
        <v>"REFRESH/JNT",</v>
      </c>
      <c r="F227" t="str">
        <f>_xlfn.TEXTJOIN("",FALSE,"update dbo.MCLProductCodes set ProductType='Credit Reports' where ProductCode='",TRIM(A227),"'")</f>
        <v>update dbo.MCLProductCodes set ProductType='Credit Reports' where ProductCode='REFRESH/JNT'</v>
      </c>
    </row>
    <row r="228" spans="1:6" x14ac:dyDescent="0.35">
      <c r="A228" s="13" t="s">
        <v>113</v>
      </c>
      <c r="D228" t="str">
        <f>_xlfn.TEXTJOIN("",FALSE,"""",TRIM(A228),""",")</f>
        <v>"REPORT - SCORE LIST",</v>
      </c>
      <c r="F228" t="str">
        <f>_xlfn.TEXTJOIN("",FALSE,"update dbo.MCLProductCodes set ProductType='Credit Reports' where ProductCode='",TRIM(A228),"'")</f>
        <v>update dbo.MCLProductCodes set ProductType='Credit Reports' where ProductCode='REPORT - SCORE LIST'</v>
      </c>
    </row>
    <row r="229" spans="1:6" x14ac:dyDescent="0.35">
      <c r="A229" s="14" t="s">
        <v>307</v>
      </c>
      <c r="D229" t="str">
        <f>_xlfn.TEXTJOIN("",FALSE,"""",TRIM(A229),""",")</f>
        <v>"RESCORE FEE",</v>
      </c>
      <c r="F229" t="str">
        <f>_xlfn.TEXTJOIN("",FALSE,"update dbo.MCLProductCodes set ProductType='Credit Reports' where ProductCode='",TRIM(A229),"'")</f>
        <v>update dbo.MCLProductCodes set ProductType='Credit Reports' where ProductCode='RESCORE FEE'</v>
      </c>
    </row>
    <row r="230" spans="1:6" x14ac:dyDescent="0.35">
      <c r="A230" s="13" t="s">
        <v>298</v>
      </c>
      <c r="D230" t="str">
        <f>_xlfn.TEXTJOIN("",FALSE,"""",TRIM(A230),""",")</f>
        <v>"RESCORE PROCESSING FEE",</v>
      </c>
      <c r="F230" t="str">
        <f>_xlfn.TEXTJOIN("",FALSE,"update dbo.MCLProductCodes set ProductType='Credit Reports' where ProductCode='",TRIM(A230),"'")</f>
        <v>update dbo.MCLProductCodes set ProductType='Credit Reports' where ProductCode='RESCORE PROCESSING FEE'</v>
      </c>
    </row>
    <row r="231" spans="1:6" x14ac:dyDescent="0.35">
      <c r="A231" s="14" t="s">
        <v>232</v>
      </c>
      <c r="D231" t="str">
        <f>_xlfn.TEXTJOIN("",FALSE,"""",TRIM(A231),""",")</f>
        <v>"RMCR",</v>
      </c>
      <c r="F231" t="str">
        <f>_xlfn.TEXTJOIN("",FALSE,"update dbo.MCLProductCodes set ProductType='Credit Reports' where ProductCode='",TRIM(A231),"'")</f>
        <v>update dbo.MCLProductCodes set ProductType='Credit Reports' where ProductCode='RMCR'</v>
      </c>
    </row>
    <row r="232" spans="1:6" x14ac:dyDescent="0.35">
      <c r="A232" s="13" t="s">
        <v>87</v>
      </c>
      <c r="D232" t="str">
        <f>_xlfn.TEXTJOIN("",FALSE,"""",TRIM(A232),""",")</f>
        <v>"RMCR BANKRUPTCY",</v>
      </c>
      <c r="F232" t="str">
        <f>_xlfn.TEXTJOIN("",FALSE,"update dbo.MCLProductCodes set ProductType='Credit Reports' where ProductCode='",TRIM(A232),"'")</f>
        <v>update dbo.MCLProductCodes set ProductType='Credit Reports' where ProductCode='RMCR BANKRUPTCY'</v>
      </c>
    </row>
    <row r="233" spans="1:6" x14ac:dyDescent="0.35">
      <c r="A233" s="14" t="s">
        <v>205</v>
      </c>
      <c r="D233" t="str">
        <f>_xlfn.TEXTJOIN("",FALSE,"""",TRIM(A233),""",")</f>
        <v>"RUSH",</v>
      </c>
      <c r="F233" t="str">
        <f>_xlfn.TEXTJOIN("",FALSE,"update dbo.MCLProductCodes set ProductType='Credit Reports' where ProductCode='",TRIM(A233),"'")</f>
        <v>update dbo.MCLProductCodes set ProductType='Credit Reports' where ProductCode='RUSH'</v>
      </c>
    </row>
    <row r="234" spans="1:6" x14ac:dyDescent="0.35">
      <c r="A234" s="13" t="s">
        <v>102</v>
      </c>
      <c r="D234" t="str">
        <f>_xlfn.TEXTJOIN("",FALSE,"""",TRIM(A234),""",")</f>
        <v>"RUSH CHARGE",</v>
      </c>
      <c r="F234" t="str">
        <f>_xlfn.TEXTJOIN("",FALSE,"update dbo.MCLProductCodes set ProductType='Credit Reports' where ProductCode='",TRIM(A234),"'")</f>
        <v>update dbo.MCLProductCodes set ProductType='Credit Reports' where ProductCode='RUSH CHARGE'</v>
      </c>
    </row>
    <row r="235" spans="1:6" x14ac:dyDescent="0.35">
      <c r="A235" s="14" t="s">
        <v>71</v>
      </c>
      <c r="D235" t="str">
        <f>_xlfn.TEXTJOIN("",FALSE,"""",TRIM(A235),""",")</f>
        <v>"RUSH FEE",</v>
      </c>
      <c r="F235" t="str">
        <f>_xlfn.TEXTJOIN("",FALSE,"update dbo.MCLProductCodes set ProductType='Credit Reports' where ProductCode='",TRIM(A235),"'")</f>
        <v>update dbo.MCLProductCodes set ProductType='Credit Reports' where ProductCode='RUSH FEE'</v>
      </c>
    </row>
    <row r="236" spans="1:6" x14ac:dyDescent="0.35">
      <c r="A236" s="14" t="s">
        <v>235</v>
      </c>
      <c r="D236" t="str">
        <f>_xlfn.TEXTJOIN("",FALSE,"""",TRIM(A236),""",")</f>
        <v>"SECONDARY USE",</v>
      </c>
      <c r="F236" t="str">
        <f>_xlfn.TEXTJOIN("",FALSE,"update dbo.MCLProductCodes set ProductType='Credit Reports' where ProductCode='",TRIM(A236),"'")</f>
        <v>update dbo.MCLProductCodes set ProductType='Credit Reports' where ProductCode='SECONDARY USE'</v>
      </c>
    </row>
    <row r="237" spans="1:6" x14ac:dyDescent="0.35">
      <c r="A237" s="14" t="s">
        <v>189</v>
      </c>
      <c r="D237" t="str">
        <f>_xlfn.TEXTJOIN("",FALSE,"""",TRIM(A237),""",")</f>
        <v>"SECONDARY_USE",</v>
      </c>
      <c r="F237" t="str">
        <f>_xlfn.TEXTJOIN("",FALSE,"update dbo.MCLProductCodes set ProductType='Credit Reports' where ProductCode='",TRIM(A237),"'")</f>
        <v>update dbo.MCLProductCodes set ProductType='Credit Reports' where ProductCode='SECONDARY_USE'</v>
      </c>
    </row>
    <row r="238" spans="1:6" x14ac:dyDescent="0.35">
      <c r="A238" s="13" t="s">
        <v>224</v>
      </c>
      <c r="D238" t="str">
        <f>_xlfn.TEXTJOIN("",FALSE,"""",TRIM(A238),""",")</f>
        <v>"SUPPLEMENT",</v>
      </c>
      <c r="F238" t="str">
        <f>_xlfn.TEXTJOIN("",FALSE,"update dbo.MCLProductCodes set ProductType='Credit Reports' where ProductCode='",TRIM(A238),"'")</f>
        <v>update dbo.MCLProductCodes set ProductType='Credit Reports' where ProductCode='SUPPLEMENT'</v>
      </c>
    </row>
    <row r="239" spans="1:6" x14ac:dyDescent="0.35">
      <c r="A239" s="13" t="s">
        <v>131</v>
      </c>
      <c r="D239" t="str">
        <f>_xlfn.TEXTJOIN("",FALSE,"""",TRIM(A239),""",")</f>
        <v>"SUPPLEMENT CHARGE",</v>
      </c>
      <c r="F239" t="str">
        <f>_xlfn.TEXTJOIN("",FALSE,"update dbo.MCLProductCodes set ProductType='Credit Reports' where ProductCode='",TRIM(A239),"'")</f>
        <v>update dbo.MCLProductCodes set ProductType='Credit Reports' where ProductCode='SUPPLEMENT CHARGE'</v>
      </c>
    </row>
    <row r="240" spans="1:6" x14ac:dyDescent="0.35">
      <c r="A240" s="14" t="s">
        <v>97</v>
      </c>
      <c r="D240" t="str">
        <f>_xlfn.TEXTJOIN("",FALSE,"""",TRIM(A240),""",")</f>
        <v>"SURCHARGE",</v>
      </c>
      <c r="F240" t="str">
        <f>_xlfn.TEXTJOIN("",FALSE,"update dbo.MCLProductCodes set ProductType='Credit Reports' where ProductCode='",TRIM(A240),"'")</f>
        <v>update dbo.MCLProductCodes set ProductType='Credit Reports' where ProductCode='SURCHARGE'</v>
      </c>
    </row>
    <row r="241" spans="1:6" x14ac:dyDescent="0.35">
      <c r="A241" s="13" t="s">
        <v>373</v>
      </c>
      <c r="B241" t="s">
        <v>374</v>
      </c>
      <c r="D241" t="str">
        <f>_xlfn.TEXTJOIN("",FALSE,"""",TRIM(A241),""",")</f>
        <v>"SURCHARGE - COLORADO SURCHARGE",</v>
      </c>
      <c r="F241" t="str">
        <f>_xlfn.TEXTJOIN("",FALSE,"update dbo.MCLProductCodes set ProductType='Credit Reports' where ProductCode='",TRIM(A241),"'")</f>
        <v>update dbo.MCLProductCodes set ProductType='Credit Reports' where ProductCode='SURCHARGE - COLORADO SURCHARGE'</v>
      </c>
    </row>
    <row r="242" spans="1:6" x14ac:dyDescent="0.35">
      <c r="A242" s="13" t="s">
        <v>375</v>
      </c>
      <c r="B242" t="s">
        <v>376</v>
      </c>
      <c r="D242" t="str">
        <f>_xlfn.TEXTJOIN("",FALSE,"""",TRIM(A242),""",")</f>
        <v>"SURCHARGE - COMPLIANCE FEE",</v>
      </c>
      <c r="F242" t="str">
        <f>_xlfn.TEXTJOIN("",FALSE,"update dbo.MCLProductCodes set ProductType='Credit Reports' where ProductCode='",TRIM(A242),"'")</f>
        <v>update dbo.MCLProductCodes set ProductType='Credit Reports' where ProductCode='SURCHARGE - COMPLIANCE FEE'</v>
      </c>
    </row>
    <row r="243" spans="1:6" x14ac:dyDescent="0.35">
      <c r="A243" s="13" t="s">
        <v>261</v>
      </c>
      <c r="D243" t="str">
        <f>_xlfn.TEXTJOIN("",FALSE,"""",TRIM(A243),""",")</f>
        <v>"SURCHARGE - COMPLIANCE FEE",</v>
      </c>
      <c r="F243" t="str">
        <f>_xlfn.TEXTJOIN("",FALSE,"update dbo.MCLProductCodes set ProductType='Credit Reports' where ProductCode='",TRIM(A243),"'")</f>
        <v>update dbo.MCLProductCodes set ProductType='Credit Reports' where ProductCode='SURCHARGE - COMPLIANCE FEE'</v>
      </c>
    </row>
    <row r="244" spans="1:6" x14ac:dyDescent="0.35">
      <c r="A244" s="13" t="s">
        <v>377</v>
      </c>
      <c r="B244" t="s">
        <v>378</v>
      </c>
      <c r="D244" t="str">
        <f>_xlfn.TEXTJOIN("",FALSE,"""",TRIM(A244),""",")</f>
        <v>"SURCHARGE - COMPLIANCE FEE - PC",</v>
      </c>
      <c r="F244" t="str">
        <f>_xlfn.TEXTJOIN("",FALSE,"update dbo.MCLProductCodes set ProductType='Credit Reports' where ProductCode='",TRIM(A244),"'")</f>
        <v>update dbo.MCLProductCodes set ProductType='Credit Reports' where ProductCode='SURCHARGE - COMPLIANCE FEE - PC'</v>
      </c>
    </row>
    <row r="245" spans="1:6" x14ac:dyDescent="0.35">
      <c r="A245" s="13" t="s">
        <v>379</v>
      </c>
      <c r="B245" t="s">
        <v>380</v>
      </c>
      <c r="D245" t="str">
        <f>_xlfn.TEXTJOIN("",FALSE,"""",TRIM(A245),""",")</f>
        <v>"SURCHARGE - COMPLIANCE FEE - SC",</v>
      </c>
      <c r="F245" t="str">
        <f>_xlfn.TEXTJOIN("",FALSE,"update dbo.MCLProductCodes set ProductType='Credit Reports' where ProductCode='",TRIM(A245),"'")</f>
        <v>update dbo.MCLProductCodes set ProductType='Credit Reports' where ProductCode='SURCHARGE - COMPLIANCE FEE - SC'</v>
      </c>
    </row>
    <row r="246" spans="1:6" x14ac:dyDescent="0.35">
      <c r="A246" s="13" t="s">
        <v>381</v>
      </c>
      <c r="B246" t="s">
        <v>382</v>
      </c>
      <c r="D246" t="str">
        <f>_xlfn.TEXTJOIN("",FALSE,"""",TRIM(A246),""",")</f>
        <v>"SURCHARGE - FACTact Surcharge",</v>
      </c>
      <c r="F246" t="str">
        <f>_xlfn.TEXTJOIN("",FALSE,"update dbo.MCLProductCodes set ProductType='Credit Reports' where ProductCode='",TRIM(A246),"'")</f>
        <v>update dbo.MCLProductCodes set ProductType='Credit Reports' where ProductCode='SURCHARGE - FACTact Surcharge'</v>
      </c>
    </row>
    <row r="247" spans="1:6" x14ac:dyDescent="0.35">
      <c r="A247" s="13" t="s">
        <v>383</v>
      </c>
      <c r="B247" t="s">
        <v>374</v>
      </c>
      <c r="D247" t="str">
        <f>_xlfn.TEXTJOIN("",FALSE,"""",TRIM(A247),""",")</f>
        <v>"SURCHARGE - ILLINOIS SURCHARGE",</v>
      </c>
      <c r="F247" t="str">
        <f>_xlfn.TEXTJOIN("",FALSE,"update dbo.MCLProductCodes set ProductType='Credit Reports' where ProductCode='",TRIM(A247),"'")</f>
        <v>update dbo.MCLProductCodes set ProductType='Credit Reports' where ProductCode='SURCHARGE - ILLINOIS SURCHARGE'</v>
      </c>
    </row>
    <row r="248" spans="1:6" x14ac:dyDescent="0.35">
      <c r="A248" s="13" t="s">
        <v>384</v>
      </c>
      <c r="B248" t="s">
        <v>374</v>
      </c>
      <c r="D248" t="str">
        <f>_xlfn.TEXTJOIN("",FALSE,"""",TRIM(A248),""",")</f>
        <v>"SURCHARGE - KENTUCKY SURCHARGE",</v>
      </c>
      <c r="F248" t="str">
        <f>_xlfn.TEXTJOIN("",FALSE,"update dbo.MCLProductCodes set ProductType='Credit Reports' where ProductCode='",TRIM(A248),"'")</f>
        <v>update dbo.MCLProductCodes set ProductType='Credit Reports' where ProductCode='SURCHARGE - KENTUCKY SURCHARGE'</v>
      </c>
    </row>
    <row r="249" spans="1:6" x14ac:dyDescent="0.35">
      <c r="A249" s="14" t="s">
        <v>70</v>
      </c>
      <c r="D249" t="str">
        <f>_xlfn.TEXTJOIN("",FALSE,"""",TRIM(A249),""",")</f>
        <v>"SWAP APPLICANTS",</v>
      </c>
      <c r="F249" t="str">
        <f>_xlfn.TEXTJOIN("",FALSE,"update dbo.MCLProductCodes set ProductType='Credit Reports' where ProductCode='",TRIM(A249),"'")</f>
        <v>update dbo.MCLProductCodes set ProductType='Credit Reports' where ProductCode='SWAP APPLICANTS'</v>
      </c>
    </row>
    <row r="250" spans="1:6" x14ac:dyDescent="0.35">
      <c r="A250" s="14" t="s">
        <v>330</v>
      </c>
      <c r="D250" t="str">
        <f>_xlfn.TEXTJOIN("",FALSE,"""",TRIM(A250),""",")</f>
        <v>"TOTALCOST",</v>
      </c>
      <c r="F250" t="str">
        <f>_xlfn.TEXTJOIN("",FALSE,"update dbo.MCLProductCodes set ProductType='Credit Reports' where ProductCode='",TRIM(A250),"'")</f>
        <v>update dbo.MCLProductCodes set ProductType='Credit Reports' where ProductCode='TOTALCOST'</v>
      </c>
    </row>
    <row r="251" spans="1:6" x14ac:dyDescent="0.35">
      <c r="A251" s="14" t="s">
        <v>222</v>
      </c>
      <c r="D251" t="str">
        <f>_xlfn.TEXTJOIN("",FALSE,"""",TRIM(A251),""",")</f>
        <v>"TRADE UPDATE",</v>
      </c>
      <c r="F251" t="str">
        <f>_xlfn.TEXTJOIN("",FALSE,"update dbo.MCLProductCodes set ProductType='Credit Reports' where ProductCode='",TRIM(A251),"'")</f>
        <v>update dbo.MCLProductCodes set ProductType='Credit Reports' where ProductCode='TRADE UPDATE'</v>
      </c>
    </row>
    <row r="252" spans="1:6" x14ac:dyDescent="0.35">
      <c r="A252" s="14" t="s">
        <v>248</v>
      </c>
      <c r="D252" t="str">
        <f>_xlfn.TEXTJOIN("",FALSE,"""",TRIM(A252),""",")</f>
        <v>"TRADE UPDATE (1)",</v>
      </c>
      <c r="F252" t="str">
        <f>_xlfn.TEXTJOIN("",FALSE,"update dbo.MCLProductCodes set ProductType='Credit Reports' where ProductCode='",TRIM(A252),"'")</f>
        <v>update dbo.MCLProductCodes set ProductType='Credit Reports' where ProductCode='TRADE UPDATE (1)'</v>
      </c>
    </row>
    <row r="253" spans="1:6" x14ac:dyDescent="0.35">
      <c r="A253" s="14" t="s">
        <v>51</v>
      </c>
      <c r="D253" t="str">
        <f>_xlfn.TEXTJOIN("",FALSE,"""",TRIM(A253),""",")</f>
        <v>"TRADE UPDATE (1-4)",</v>
      </c>
      <c r="F253" t="str">
        <f>_xlfn.TEXTJOIN("",FALSE,"update dbo.MCLProductCodes set ProductType='Credit Reports' where ProductCode='",TRIM(A253),"'")</f>
        <v>update dbo.MCLProductCodes set ProductType='Credit Reports' where ProductCode='TRADE UPDATE (1-4)'</v>
      </c>
    </row>
    <row r="254" spans="1:6" x14ac:dyDescent="0.35">
      <c r="A254" s="13" t="s">
        <v>213</v>
      </c>
      <c r="D254" t="str">
        <f>_xlfn.TEXTJOIN("",FALSE,"""",TRIM(A254),""",")</f>
        <v>"TRADE UPDATE (1-5)",</v>
      </c>
      <c r="F254" t="str">
        <f>_xlfn.TEXTJOIN("",FALSE,"update dbo.MCLProductCodes set ProductType='Credit Reports' where ProductCode='",TRIM(A254),"'")</f>
        <v>update dbo.MCLProductCodes set ProductType='Credit Reports' where ProductCode='TRADE UPDATE (1-5)'</v>
      </c>
    </row>
    <row r="255" spans="1:6" x14ac:dyDescent="0.35">
      <c r="A255" s="14" t="s">
        <v>335</v>
      </c>
      <c r="D255" t="str">
        <f>_xlfn.TEXTJOIN("",FALSE,"""",TRIM(A255),""",")</f>
        <v>"TRADE UPDATE (2)",</v>
      </c>
      <c r="F255" t="str">
        <f>_xlfn.TEXTJOIN("",FALSE,"update dbo.MCLProductCodes set ProductType='Credit Reports' where ProductCode='",TRIM(A255),"'")</f>
        <v>update dbo.MCLProductCodes set ProductType='Credit Reports' where ProductCode='TRADE UPDATE (2)'</v>
      </c>
    </row>
    <row r="256" spans="1:6" x14ac:dyDescent="0.35">
      <c r="A256" s="13" t="s">
        <v>337</v>
      </c>
      <c r="D256" t="str">
        <f>_xlfn.TEXTJOIN("",FALSE,"""",TRIM(A256),""",")</f>
        <v>"TRADE UPDATE (3)",</v>
      </c>
      <c r="F256" t="str">
        <f>_xlfn.TEXTJOIN("",FALSE,"update dbo.MCLProductCodes set ProductType='Credit Reports' where ProductCode='",TRIM(A256),"'")</f>
        <v>update dbo.MCLProductCodes set ProductType='Credit Reports' where ProductCode='TRADE UPDATE (3)'</v>
      </c>
    </row>
    <row r="257" spans="1:6" x14ac:dyDescent="0.35">
      <c r="A257" s="13" t="s">
        <v>18</v>
      </c>
      <c r="D257" t="str">
        <f>_xlfn.TEXTJOIN("",FALSE,"""",TRIM(A257),""",")</f>
        <v>"TRADE UPDATE (4)",</v>
      </c>
      <c r="F257" t="str">
        <f>_xlfn.TEXTJOIN("",FALSE,"update dbo.MCLProductCodes set ProductType='Credit Reports' where ProductCode='",TRIM(A257),"'")</f>
        <v>update dbo.MCLProductCodes set ProductType='Credit Reports' where ProductCode='TRADE UPDATE (4)'</v>
      </c>
    </row>
    <row r="258" spans="1:6" x14ac:dyDescent="0.35">
      <c r="A258" s="13" t="s">
        <v>146</v>
      </c>
      <c r="D258" t="str">
        <f>_xlfn.TEXTJOIN("",FALSE,"""",TRIM(A258),""",")</f>
        <v>"TRADE UPDATE (5)",</v>
      </c>
      <c r="F258" t="str">
        <f>_xlfn.TEXTJOIN("",FALSE,"update dbo.MCLProductCodes set ProductType='Credit Reports' where ProductCode='",TRIM(A258),"'")</f>
        <v>update dbo.MCLProductCodes set ProductType='Credit Reports' where ProductCode='TRADE UPDATE (5)'</v>
      </c>
    </row>
    <row r="259" spans="1:6" x14ac:dyDescent="0.35">
      <c r="A259" s="14" t="s">
        <v>274</v>
      </c>
      <c r="D259" t="str">
        <f>_xlfn.TEXTJOIN("",FALSE,"""",TRIM(A259),""",")</f>
        <v>"TRADE UPDATE (5+)",</v>
      </c>
      <c r="F259" t="str">
        <f>_xlfn.TEXTJOIN("",FALSE,"update dbo.MCLProductCodes set ProductType='Credit Reports' where ProductCode='",TRIM(A259),"'")</f>
        <v>update dbo.MCLProductCodes set ProductType='Credit Reports' where ProductCode='TRADE UPDATE (5+)'</v>
      </c>
    </row>
    <row r="260" spans="1:6" x14ac:dyDescent="0.35">
      <c r="A260" s="13" t="s">
        <v>147</v>
      </c>
      <c r="D260" t="str">
        <f>_xlfn.TEXTJOIN("",FALSE,"""",TRIM(A260),""",")</f>
        <v>"TRADE UPDATE (6+)",</v>
      </c>
      <c r="F260" t="str">
        <f>_xlfn.TEXTJOIN("",FALSE,"update dbo.MCLProductCodes set ProductType='Credit Reports' where ProductCode='",TRIM(A260),"'")</f>
        <v>update dbo.MCLProductCodes set ProductType='Credit Reports' where ProductCode='TRADE UPDATE (6+)'</v>
      </c>
    </row>
    <row r="261" spans="1:6" x14ac:dyDescent="0.35">
      <c r="A261" s="13" t="s">
        <v>107</v>
      </c>
      <c r="D261" t="str">
        <f>_xlfn.TEXTJOIN("",FALSE,"""",TRIM(A261),""",")</f>
        <v>"TRADE UPDATE INCLUDING VOM (1-3)",</v>
      </c>
      <c r="F261" t="str">
        <f>_xlfn.TEXTJOIN("",FALSE,"update dbo.MCLProductCodes set ProductType='Credit Reports' where ProductCode='",TRIM(A261),"'")</f>
        <v>update dbo.MCLProductCodes set ProductType='Credit Reports' where ProductCode='TRADE UPDATE INCLUDING VOM (1-3)'</v>
      </c>
    </row>
    <row r="262" spans="1:6" x14ac:dyDescent="0.35">
      <c r="A262" s="13" t="s">
        <v>111</v>
      </c>
      <c r="D262" t="str">
        <f>_xlfn.TEXTJOIN("",FALSE,"""",TRIM(A262),""",")</f>
        <v>"TRADE UPDATE INCLUDING VOM (4 OR MORE)",</v>
      </c>
      <c r="F262" t="str">
        <f>_xlfn.TEXTJOIN("",FALSE,"update dbo.MCLProductCodes set ProductType='Credit Reports' where ProductCode='",TRIM(A262),"'")</f>
        <v>update dbo.MCLProductCodes set ProductType='Credit Reports' where ProductCode='TRADE UPDATE INCLUDING VOM (4 OR MORE)'</v>
      </c>
    </row>
    <row r="263" spans="1:6" x14ac:dyDescent="0.35">
      <c r="A263" s="14" t="s">
        <v>98</v>
      </c>
      <c r="D263" t="str">
        <f>_xlfn.TEXTJOIN("",FALSE,"""",TRIM(A263),""",")</f>
        <v>"TUC",</v>
      </c>
      <c r="F263" t="str">
        <f>_xlfn.TEXTJOIN("",FALSE,"update dbo.MCLProductCodes set ProductType='Credit Reports' where ProductCode='",TRIM(A263),"'")</f>
        <v>update dbo.MCLProductCodes set ProductType='Credit Reports' where ProductCode='TUC'</v>
      </c>
    </row>
    <row r="264" spans="1:6" x14ac:dyDescent="0.35">
      <c r="A264" s="14" t="s">
        <v>166</v>
      </c>
      <c r="D264" t="str">
        <f>_xlfn.TEXTJOIN("",FALSE,"""",TRIM(A264),""",")</f>
        <v>"TUC/JNT",</v>
      </c>
      <c r="F264" t="str">
        <f>_xlfn.TEXTJOIN("",FALSE,"update dbo.MCLProductCodes set ProductType='Credit Reports' where ProductCode='",TRIM(A264),"'")</f>
        <v>update dbo.MCLProductCodes set ProductType='Credit Reports' where ProductCode='TUC/JNT'</v>
      </c>
    </row>
    <row r="265" spans="1:6" x14ac:dyDescent="0.35">
      <c r="A265" s="14" t="s">
        <v>1155</v>
      </c>
      <c r="D265" t="str">
        <f>_xlfn.TEXTJOIN("",FALSE,"""",TRIM(A265),""",")</f>
        <v>"TUC/JNT-SOFT",</v>
      </c>
      <c r="F265" t="str">
        <f>_xlfn.TEXTJOIN("",FALSE,"update dbo.MCLProductCodes set ProductType='Credit Reports' where ProductCode='",TRIM(A265),"'")</f>
        <v>update dbo.MCLProductCodes set ProductType='Credit Reports' where ProductCode='TUC/JNT-SOFT'</v>
      </c>
    </row>
    <row r="266" spans="1:6" x14ac:dyDescent="0.35">
      <c r="A266" s="14" t="s">
        <v>1156</v>
      </c>
      <c r="D266" t="str">
        <f>_xlfn.TEXTJOIN("",FALSE,"""",TRIM(A266),""",")</f>
        <v>"TUC-SOFT",</v>
      </c>
      <c r="F266" t="str">
        <f>_xlfn.TEXTJOIN("",FALSE,"update dbo.MCLProductCodes set ProductType='Credit Reports' where ProductCode='",TRIM(A266),"'")</f>
        <v>update dbo.MCLProductCodes set ProductType='Credit Reports' where ProductCode='TUC-SOFT'</v>
      </c>
    </row>
    <row r="267" spans="1:6" x14ac:dyDescent="0.35">
      <c r="A267" s="13" t="s">
        <v>24</v>
      </c>
      <c r="D267" t="str">
        <f>_xlfn.TEXTJOIN("",FALSE,"""",TRIM(A267),""",")</f>
        <v>"UNDETERMINED",</v>
      </c>
      <c r="F267" t="str">
        <f>_xlfn.TEXTJOIN("",FALSE,"update dbo.MCLProductCodes set ProductType='Credit Reports' where ProductCode='",TRIM(A267),"'")</f>
        <v>update dbo.MCLProductCodes set ProductType='Credit Reports' where ProductCode='UNDETERMINED'</v>
      </c>
    </row>
    <row r="268" spans="1:6" x14ac:dyDescent="0.35">
      <c r="A268" s="13" t="s">
        <v>164</v>
      </c>
      <c r="D268" t="str">
        <f>_xlfn.TEXTJOIN("",FALSE,"""",TRIM(A268),""",")</f>
        <v>"UNDORMCR",</v>
      </c>
      <c r="F268" t="str">
        <f>_xlfn.TEXTJOIN("",FALSE,"update dbo.MCLProductCodes set ProductType='Credit Reports' where ProductCode='",TRIM(A268),"'")</f>
        <v>update dbo.MCLProductCodes set ProductType='Credit Reports' where ProductCode='UNDORMCR'</v>
      </c>
    </row>
    <row r="269" spans="1:6" x14ac:dyDescent="0.35">
      <c r="A269" s="14" t="s">
        <v>52</v>
      </c>
      <c r="D269" t="str">
        <f>_xlfn.TEXTJOIN("",FALSE,"""",TRIM(A269),""",")</f>
        <v>"UNMERGE FEE",</v>
      </c>
      <c r="F269" t="str">
        <f>_xlfn.TEXTJOIN("",FALSE,"update dbo.MCLProductCodes set ProductType='Credit Reports' where ProductCode='",TRIM(A269),"'")</f>
        <v>update dbo.MCLProductCodes set ProductType='Credit Reports' where ProductCode='UNMERGE FEE'</v>
      </c>
    </row>
    <row r="270" spans="1:6" x14ac:dyDescent="0.35">
      <c r="A270" s="14" t="s">
        <v>234</v>
      </c>
      <c r="D270" t="str">
        <f>_xlfn.TEXTJOIN("",FALSE,"""",TRIM(A270),""",")</f>
        <v>"UNMERGE REPORT",</v>
      </c>
      <c r="F270" t="str">
        <f>_xlfn.TEXTJOIN("",FALSE,"update dbo.MCLProductCodes set ProductType='Credit Reports' where ProductCode='",TRIM(A270),"'")</f>
        <v>update dbo.MCLProductCodes set ProductType='Credit Reports' where ProductCode='UNMERGE REPORT'</v>
      </c>
    </row>
    <row r="271" spans="1:6" x14ac:dyDescent="0.35">
      <c r="A271" s="14" t="s">
        <v>228</v>
      </c>
      <c r="D271" t="str">
        <f>_xlfn.TEXTJOIN("",FALSE,"""",TRIM(A271),""",")</f>
        <v>"UNMERGED REPORT",</v>
      </c>
      <c r="F271" t="str">
        <f>_xlfn.TEXTJOIN("",FALSE,"update dbo.MCLProductCodes set ProductType='Credit Reports' where ProductCode='",TRIM(A271),"'")</f>
        <v>update dbo.MCLProductCodes set ProductType='Credit Reports' where ProductCode='UNMERGED REPORT'</v>
      </c>
    </row>
    <row r="272" spans="1:6" x14ac:dyDescent="0.35">
      <c r="A272" s="14" t="s">
        <v>49</v>
      </c>
      <c r="D272" t="str">
        <f>_xlfn.TEXTJOIN("",FALSE,"""",TRIM(A272),""",")</f>
        <v>"UPATED PUBLIC RECORDS (1)",</v>
      </c>
      <c r="F272" t="str">
        <f>_xlfn.TEXTJOIN("",FALSE,"update dbo.MCLProductCodes set ProductType='Credit Reports' where ProductCode='",TRIM(A272),"'")</f>
        <v>update dbo.MCLProductCodes set ProductType='Credit Reports' where ProductCode='UPATED PUBLIC RECORDS (1)'</v>
      </c>
    </row>
    <row r="273" spans="1:6" x14ac:dyDescent="0.35">
      <c r="A273" s="13" t="s">
        <v>75</v>
      </c>
      <c r="D273" t="str">
        <f>_xlfn.TEXTJOIN("",FALSE,"""",TRIM(A273),""",")</f>
        <v>"UPDATED PUBLIC RECORDS (1)",</v>
      </c>
      <c r="F273" t="str">
        <f>_xlfn.TEXTJOIN("",FALSE,"update dbo.MCLProductCodes set ProductType='Credit Reports' where ProductCode='",TRIM(A273),"'")</f>
        <v>update dbo.MCLProductCodes set ProductType='Credit Reports' where ProductCode='UPDATED PUBLIC RECORDS (1)'</v>
      </c>
    </row>
    <row r="274" spans="1:6" x14ac:dyDescent="0.35">
      <c r="A274" s="13" t="s">
        <v>316</v>
      </c>
      <c r="D274" t="str">
        <f>_xlfn.TEXTJOIN("",FALSE,"""",TRIM(A274),""",")</f>
        <v>"UPDATED PUBLIC RECORDS (2)",</v>
      </c>
      <c r="F274" t="str">
        <f>_xlfn.TEXTJOIN("",FALSE,"update dbo.MCLProductCodes set ProductType='Credit Reports' where ProductCode='",TRIM(A274),"'")</f>
        <v>update dbo.MCLProductCodes set ProductType='Credit Reports' where ProductCode='UPDATED PUBLIC RECORDS (2)'</v>
      </c>
    </row>
    <row r="275" spans="1:6" x14ac:dyDescent="0.35">
      <c r="A275" s="14" t="s">
        <v>171</v>
      </c>
      <c r="D275" t="str">
        <f>_xlfn.TEXTJOIN("",FALSE,"""",TRIM(A275),""",")</f>
        <v>"UPDATED PUBLIC RECORDS (3)",</v>
      </c>
      <c r="F275" t="str">
        <f>_xlfn.TEXTJOIN("",FALSE,"update dbo.MCLProductCodes set ProductType='Credit Reports' where ProductCode='",TRIM(A275),"'")</f>
        <v>update dbo.MCLProductCodes set ProductType='Credit Reports' where ProductCode='UPDATED PUBLIC RECORDS (3)'</v>
      </c>
    </row>
    <row r="276" spans="1:6" x14ac:dyDescent="0.35">
      <c r="A276" s="13" t="s">
        <v>83</v>
      </c>
      <c r="D276" t="str">
        <f>_xlfn.TEXTJOIN("",FALSE,"""",TRIM(A276),""",")</f>
        <v>"UPDATED TRADE (1)",</v>
      </c>
      <c r="F276" t="str">
        <f>_xlfn.TEXTJOIN("",FALSE,"update dbo.MCLProductCodes set ProductType='Credit Reports' where ProductCode='",TRIM(A276),"'")</f>
        <v>update dbo.MCLProductCodes set ProductType='Credit Reports' where ProductCode='UPDATED TRADE (1)'</v>
      </c>
    </row>
    <row r="277" spans="1:6" x14ac:dyDescent="0.35">
      <c r="A277" s="14" t="s">
        <v>140</v>
      </c>
      <c r="D277" t="str">
        <f>_xlfn.TEXTJOIN("",FALSE,"""",TRIM(A277),""",")</f>
        <v>"UPGRADE COPY",</v>
      </c>
      <c r="F277" t="str">
        <f>_xlfn.TEXTJOIN("",FALSE,"update dbo.MCLProductCodes set ProductType='Credit Reports' where ProductCode='",TRIM(A277),"'")</f>
        <v>update dbo.MCLProductCodes set ProductType='Credit Reports' where ProductCode='UPGRADE COPY'</v>
      </c>
    </row>
  </sheetData>
  <sortState xmlns:xlrd2="http://schemas.microsoft.com/office/spreadsheetml/2017/richdata2" ref="A1:F277">
    <sortCondition ref="A1:A27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3CEF-7AA2-4BA5-8803-DE641D8D7CD4}">
  <dimension ref="A1:B23"/>
  <sheetViews>
    <sheetView workbookViewId="0">
      <selection activeCell="C28" sqref="C28"/>
    </sheetView>
  </sheetViews>
  <sheetFormatPr defaultRowHeight="14.5" x14ac:dyDescent="0.35"/>
  <cols>
    <col min="1" max="1" width="51.81640625" customWidth="1"/>
    <col min="2" max="2" width="28.7265625" customWidth="1"/>
  </cols>
  <sheetData>
    <row r="1" spans="1:2" x14ac:dyDescent="0.35">
      <c r="A1" t="s">
        <v>140</v>
      </c>
      <c r="B1" t="str">
        <f>_xlfn.TEXTJOIN("",FALSE,"""",TRIM(A1),""",")</f>
        <v>"UPGRADE COPY",</v>
      </c>
    </row>
    <row r="2" spans="1:2" x14ac:dyDescent="0.35">
      <c r="A2" t="s">
        <v>98</v>
      </c>
      <c r="B2" t="str">
        <f t="shared" ref="B2:B23" si="0">_xlfn.TEXTJOIN("",FALSE,"""",TRIM(A2),""",")</f>
        <v>"TUC",</v>
      </c>
    </row>
    <row r="3" spans="1:2" x14ac:dyDescent="0.35">
      <c r="A3" t="s">
        <v>166</v>
      </c>
      <c r="B3" t="str">
        <f t="shared" si="0"/>
        <v>"TUC/JNT",</v>
      </c>
    </row>
    <row r="4" spans="1:2" x14ac:dyDescent="0.35">
      <c r="A4" t="s">
        <v>191</v>
      </c>
      <c r="B4" t="str">
        <f t="shared" si="0"/>
        <v>"REFRESH",</v>
      </c>
    </row>
    <row r="5" spans="1:2" x14ac:dyDescent="0.35">
      <c r="A5" t="s">
        <v>328</v>
      </c>
      <c r="B5" t="str">
        <f t="shared" si="0"/>
        <v>"REFRESH/JNT",</v>
      </c>
    </row>
    <row r="6" spans="1:2" x14ac:dyDescent="0.35">
      <c r="A6" t="s">
        <v>396</v>
      </c>
      <c r="B6" t="str">
        <f t="shared" si="0"/>
        <v>"3BUR",</v>
      </c>
    </row>
    <row r="7" spans="1:2" x14ac:dyDescent="0.35">
      <c r="A7" t="s">
        <v>398</v>
      </c>
      <c r="B7" t="str">
        <f t="shared" si="0"/>
        <v>"3BURJ",</v>
      </c>
    </row>
    <row r="8" spans="1:2" x14ac:dyDescent="0.35">
      <c r="A8" t="s">
        <v>34</v>
      </c>
      <c r="B8" t="str">
        <f t="shared" si="0"/>
        <v>"ADD1BI",</v>
      </c>
    </row>
    <row r="9" spans="1:2" x14ac:dyDescent="0.35">
      <c r="A9" t="s">
        <v>7</v>
      </c>
      <c r="B9" t="str">
        <f t="shared" si="0"/>
        <v>"ADD1BJ",</v>
      </c>
    </row>
    <row r="10" spans="1:2" x14ac:dyDescent="0.35">
      <c r="A10" t="s">
        <v>210</v>
      </c>
      <c r="B10" t="str">
        <f t="shared" si="0"/>
        <v>"ADD2BI",</v>
      </c>
    </row>
    <row r="11" spans="1:2" x14ac:dyDescent="0.35">
      <c r="A11" t="s">
        <v>5</v>
      </c>
      <c r="B11" t="str">
        <f t="shared" si="0"/>
        <v>"ADD2BJ",</v>
      </c>
    </row>
    <row r="12" spans="1:2" x14ac:dyDescent="0.35">
      <c r="A12" t="s">
        <v>326</v>
      </c>
      <c r="B12" t="str">
        <f t="shared" si="0"/>
        <v>"ADD3BI",</v>
      </c>
    </row>
    <row r="13" spans="1:2" x14ac:dyDescent="0.35">
      <c r="A13" t="s">
        <v>229</v>
      </c>
      <c r="B13" t="str">
        <f t="shared" si="0"/>
        <v>"ADDCOB",</v>
      </c>
    </row>
    <row r="14" spans="1:2" x14ac:dyDescent="0.35">
      <c r="A14" t="s">
        <v>121</v>
      </c>
      <c r="B14" t="str">
        <f t="shared" si="0"/>
        <v>"ADDCOB1B",</v>
      </c>
    </row>
    <row r="15" spans="1:2" x14ac:dyDescent="0.35">
      <c r="A15" t="s">
        <v>227</v>
      </c>
      <c r="B15" t="str">
        <f t="shared" si="0"/>
        <v>"ADDCOB2B",</v>
      </c>
    </row>
    <row r="16" spans="1:2" x14ac:dyDescent="0.35">
      <c r="A16" t="s">
        <v>3</v>
      </c>
      <c r="B16" t="str">
        <f t="shared" si="0"/>
        <v>"ADDSPOUSE",</v>
      </c>
    </row>
    <row r="17" spans="1:2" x14ac:dyDescent="0.35">
      <c r="A17" t="s">
        <v>271</v>
      </c>
      <c r="B17" t="str">
        <f t="shared" si="0"/>
        <v>"CREDIT",</v>
      </c>
    </row>
    <row r="18" spans="1:2" x14ac:dyDescent="0.35">
      <c r="A18" t="s">
        <v>269</v>
      </c>
      <c r="B18" t="str">
        <f t="shared" si="0"/>
        <v>"EQF/TUC",</v>
      </c>
    </row>
    <row r="19" spans="1:2" x14ac:dyDescent="0.35">
      <c r="A19" t="s">
        <v>332</v>
      </c>
      <c r="B19" t="str">
        <f t="shared" si="0"/>
        <v>"EQF/TUC/JNT",</v>
      </c>
    </row>
    <row r="20" spans="1:2" x14ac:dyDescent="0.35">
      <c r="A20" t="s">
        <v>209</v>
      </c>
      <c r="B20" t="str">
        <f t="shared" si="0"/>
        <v>"EXP/EQF/TUC",</v>
      </c>
    </row>
    <row r="21" spans="1:2" x14ac:dyDescent="0.35">
      <c r="A21" t="s">
        <v>118</v>
      </c>
      <c r="B21" t="str">
        <f t="shared" si="0"/>
        <v>"EXP/EQF/TUC/JNT",</v>
      </c>
    </row>
    <row r="22" spans="1:2" x14ac:dyDescent="0.35">
      <c r="A22" t="s">
        <v>283</v>
      </c>
      <c r="B22" t="str">
        <f t="shared" si="0"/>
        <v>"EXP/TUC",</v>
      </c>
    </row>
    <row r="23" spans="1:2" x14ac:dyDescent="0.35">
      <c r="A23" t="s">
        <v>145</v>
      </c>
      <c r="B23" t="str">
        <f t="shared" si="0"/>
        <v>"EXP/TUC/JNT",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BCE4-7669-4487-8819-23C5CEB865FE}">
  <dimension ref="A1:F34"/>
  <sheetViews>
    <sheetView workbookViewId="0">
      <selection activeCell="F26" sqref="F26:F34"/>
    </sheetView>
  </sheetViews>
  <sheetFormatPr defaultRowHeight="14.5" x14ac:dyDescent="0.35"/>
  <cols>
    <col min="1" max="1" width="43.81640625" customWidth="1"/>
    <col min="2" max="2" width="38" customWidth="1"/>
    <col min="4" max="4" width="21.7265625" customWidth="1"/>
    <col min="6" max="6" width="38.26953125" customWidth="1"/>
  </cols>
  <sheetData>
    <row r="1" spans="1:6" x14ac:dyDescent="0.35">
      <c r="A1" t="s">
        <v>141</v>
      </c>
      <c r="D1" t="str">
        <f>_xlfn.TEXTJOIN("",FALSE,"""",TRIM(A1),""",")</f>
        <v>"EQF",</v>
      </c>
      <c r="F1" t="str">
        <f>_xlfn.TEXTJOIN("",FALSE,"ProductCode='",TRIM(A1),"' OR ")</f>
        <v xml:space="preserve">ProductCode='EQF' OR </v>
      </c>
    </row>
    <row r="2" spans="1:6" x14ac:dyDescent="0.35">
      <c r="A2" t="s">
        <v>143</v>
      </c>
      <c r="D2" t="str">
        <f t="shared" ref="D2:D23" si="0">_xlfn.TEXTJOIN("",FALSE,"""",TRIM(A2),""",")</f>
        <v>"EQF/JNT",</v>
      </c>
      <c r="F2" t="str">
        <f t="shared" ref="F2:F34" si="1">_xlfn.TEXTJOIN("",FALSE,"ProductCode='",TRIM(A2),"' OR ")</f>
        <v xml:space="preserve">ProductCode='EQF/JNT' OR </v>
      </c>
    </row>
    <row r="3" spans="1:6" x14ac:dyDescent="0.35">
      <c r="A3" t="s">
        <v>269</v>
      </c>
      <c r="D3" t="str">
        <f t="shared" si="0"/>
        <v>"EQF/TUC",</v>
      </c>
      <c r="F3" t="str">
        <f t="shared" si="1"/>
        <v xml:space="preserve">ProductCode='EQF/TUC' OR </v>
      </c>
    </row>
    <row r="4" spans="1:6" x14ac:dyDescent="0.35">
      <c r="A4" t="s">
        <v>332</v>
      </c>
      <c r="D4" t="str">
        <f t="shared" si="0"/>
        <v>"EQF/TUC/JNT",</v>
      </c>
      <c r="F4" t="str">
        <f t="shared" si="1"/>
        <v xml:space="preserve">ProductCode='EQF/TUC/JNT' OR </v>
      </c>
    </row>
    <row r="5" spans="1:6" x14ac:dyDescent="0.35">
      <c r="A5" t="s">
        <v>212</v>
      </c>
      <c r="D5" t="str">
        <f t="shared" si="0"/>
        <v>"EXP",</v>
      </c>
      <c r="F5" t="str">
        <f t="shared" si="1"/>
        <v xml:space="preserve">ProductCode='EXP' OR </v>
      </c>
    </row>
    <row r="6" spans="1:6" x14ac:dyDescent="0.35">
      <c r="A6" t="s">
        <v>309</v>
      </c>
      <c r="D6" t="str">
        <f t="shared" si="0"/>
        <v>"EXP/EQF",</v>
      </c>
      <c r="F6" t="str">
        <f t="shared" si="1"/>
        <v xml:space="preserve">ProductCode='EXP/EQF' OR </v>
      </c>
    </row>
    <row r="7" spans="1:6" x14ac:dyDescent="0.35">
      <c r="A7" t="s">
        <v>334</v>
      </c>
      <c r="D7" t="str">
        <f t="shared" si="0"/>
        <v>"EXP/EQF/JNT",</v>
      </c>
      <c r="F7" t="str">
        <f t="shared" si="1"/>
        <v xml:space="preserve">ProductCode='EXP/EQF/JNT' OR </v>
      </c>
    </row>
    <row r="8" spans="1:6" x14ac:dyDescent="0.35">
      <c r="A8" t="s">
        <v>209</v>
      </c>
      <c r="D8" t="str">
        <f t="shared" si="0"/>
        <v>"EXP/EQF/TUC",</v>
      </c>
      <c r="F8" t="str">
        <f t="shared" si="1"/>
        <v xml:space="preserve">ProductCode='EXP/EQF/TUC' OR </v>
      </c>
    </row>
    <row r="9" spans="1:6" x14ac:dyDescent="0.35">
      <c r="A9" t="s">
        <v>118</v>
      </c>
      <c r="D9" t="str">
        <f t="shared" si="0"/>
        <v>"EXP/EQF/TUC/JNT",</v>
      </c>
      <c r="F9" t="str">
        <f t="shared" si="1"/>
        <v xml:space="preserve">ProductCode='EXP/EQF/TUC/JNT' OR </v>
      </c>
    </row>
    <row r="10" spans="1:6" x14ac:dyDescent="0.35">
      <c r="A10" t="s">
        <v>249</v>
      </c>
      <c r="D10" t="str">
        <f t="shared" si="0"/>
        <v>"EXP/JNT",</v>
      </c>
      <c r="F10" t="str">
        <f t="shared" si="1"/>
        <v xml:space="preserve">ProductCode='EXP/JNT' OR </v>
      </c>
    </row>
    <row r="11" spans="1:6" x14ac:dyDescent="0.35">
      <c r="A11" t="s">
        <v>283</v>
      </c>
      <c r="D11" t="str">
        <f t="shared" si="0"/>
        <v>"EXP/TUC",</v>
      </c>
      <c r="F11" t="str">
        <f t="shared" si="1"/>
        <v xml:space="preserve">ProductCode='EXP/TUC' OR </v>
      </c>
    </row>
    <row r="12" spans="1:6" x14ac:dyDescent="0.35">
      <c r="A12" t="s">
        <v>145</v>
      </c>
      <c r="D12" t="str">
        <f t="shared" si="0"/>
        <v>"EXP/TUC/JNT",</v>
      </c>
      <c r="F12" t="str">
        <f t="shared" si="1"/>
        <v xml:space="preserve">ProductCode='EXP/TUC/JNT' OR </v>
      </c>
    </row>
    <row r="13" spans="1:6" x14ac:dyDescent="0.35">
      <c r="A13" t="s">
        <v>396</v>
      </c>
      <c r="B13" t="s">
        <v>397</v>
      </c>
      <c r="D13" t="str">
        <f t="shared" si="0"/>
        <v>"3BUR",</v>
      </c>
      <c r="F13" t="str">
        <f t="shared" si="1"/>
        <v xml:space="preserve">ProductCode='3BUR' OR </v>
      </c>
    </row>
    <row r="14" spans="1:6" x14ac:dyDescent="0.35">
      <c r="A14" t="s">
        <v>398</v>
      </c>
      <c r="B14" t="s">
        <v>399</v>
      </c>
      <c r="D14" t="str">
        <f t="shared" si="0"/>
        <v>"3BURJ",</v>
      </c>
      <c r="F14" t="str">
        <f t="shared" si="1"/>
        <v xml:space="preserve">ProductCode='3BURJ' OR </v>
      </c>
    </row>
    <row r="15" spans="1:6" x14ac:dyDescent="0.35">
      <c r="A15" t="s">
        <v>400</v>
      </c>
      <c r="B15" t="s">
        <v>401</v>
      </c>
      <c r="D15" t="str">
        <f t="shared" si="0"/>
        <v>"3BUR-R",</v>
      </c>
      <c r="F15" t="str">
        <f t="shared" si="1"/>
        <v xml:space="preserve">ProductCode='3BUR-R' OR </v>
      </c>
    </row>
    <row r="16" spans="1:6" x14ac:dyDescent="0.35">
      <c r="A16" t="s">
        <v>402</v>
      </c>
      <c r="B16" t="s">
        <v>403</v>
      </c>
      <c r="D16" t="str">
        <f t="shared" si="0"/>
        <v>"3BURJ-R",</v>
      </c>
      <c r="F16" t="str">
        <f t="shared" si="1"/>
        <v xml:space="preserve">ProductCode='3BURJ-R' OR </v>
      </c>
    </row>
    <row r="17" spans="1:6" x14ac:dyDescent="0.35">
      <c r="A17" t="s">
        <v>191</v>
      </c>
      <c r="D17" t="str">
        <f t="shared" si="0"/>
        <v>"REFRESH",</v>
      </c>
      <c r="F17" t="str">
        <f t="shared" si="1"/>
        <v xml:space="preserve">ProductCode='REFRESH' OR </v>
      </c>
    </row>
    <row r="18" spans="1:6" x14ac:dyDescent="0.35">
      <c r="A18" t="s">
        <v>328</v>
      </c>
      <c r="D18" t="str">
        <f t="shared" si="0"/>
        <v>"REFRESH/JNT",</v>
      </c>
      <c r="F18" t="str">
        <f t="shared" si="1"/>
        <v xml:space="preserve">ProductCode='REFRESH/JNT' OR </v>
      </c>
    </row>
    <row r="19" spans="1:6" x14ac:dyDescent="0.35">
      <c r="A19" t="s">
        <v>98</v>
      </c>
      <c r="D19" t="str">
        <f t="shared" si="0"/>
        <v>"TUC",</v>
      </c>
      <c r="F19" t="str">
        <f t="shared" si="1"/>
        <v xml:space="preserve">ProductCode='TUC' OR </v>
      </c>
    </row>
    <row r="20" spans="1:6" x14ac:dyDescent="0.35">
      <c r="A20" t="s">
        <v>166</v>
      </c>
      <c r="D20" t="str">
        <f t="shared" si="0"/>
        <v>"TUC/JNT",</v>
      </c>
      <c r="F20" t="str">
        <f t="shared" si="1"/>
        <v xml:space="preserve">ProductCode='TUC/JNT' OR </v>
      </c>
    </row>
    <row r="21" spans="1:6" x14ac:dyDescent="0.35">
      <c r="A21" t="s">
        <v>38</v>
      </c>
      <c r="D21" t="str">
        <f t="shared" si="0"/>
        <v>"FMACI",</v>
      </c>
      <c r="F21" t="str">
        <f t="shared" si="1"/>
        <v xml:space="preserve">ProductCode='FMACI' OR </v>
      </c>
    </row>
    <row r="22" spans="1:6" x14ac:dyDescent="0.35">
      <c r="A22" t="s">
        <v>78</v>
      </c>
      <c r="D22" t="str">
        <f t="shared" si="0"/>
        <v>"FMACJ",</v>
      </c>
      <c r="F22" t="str">
        <f t="shared" si="1"/>
        <v xml:space="preserve">ProductCode='FMACJ' OR </v>
      </c>
    </row>
    <row r="23" spans="1:6" x14ac:dyDescent="0.35">
      <c r="A23" t="s">
        <v>331</v>
      </c>
      <c r="D23" t="str">
        <f t="shared" si="0"/>
        <v>"MERGED REPORT",</v>
      </c>
      <c r="F23" t="str">
        <f t="shared" si="1"/>
        <v xml:space="preserve">ProductCode='MERGED REPORT' OR </v>
      </c>
    </row>
    <row r="25" spans="1:6" x14ac:dyDescent="0.35">
      <c r="A25" s="5" t="s">
        <v>998</v>
      </c>
      <c r="C25" s="5" t="s">
        <v>999</v>
      </c>
    </row>
    <row r="26" spans="1:6" x14ac:dyDescent="0.35">
      <c r="A26" t="s">
        <v>34</v>
      </c>
      <c r="F26" t="str">
        <f t="shared" si="1"/>
        <v xml:space="preserve">ProductCode='ADD1BI' OR </v>
      </c>
    </row>
    <row r="27" spans="1:6" x14ac:dyDescent="0.35">
      <c r="A27" t="s">
        <v>7</v>
      </c>
      <c r="F27" t="str">
        <f t="shared" si="1"/>
        <v xml:space="preserve">ProductCode='ADD1BJ' OR </v>
      </c>
    </row>
    <row r="28" spans="1:6" x14ac:dyDescent="0.35">
      <c r="A28" t="s">
        <v>210</v>
      </c>
      <c r="F28" t="str">
        <f t="shared" si="1"/>
        <v xml:space="preserve">ProductCode='ADD2BI' OR </v>
      </c>
    </row>
    <row r="29" spans="1:6" x14ac:dyDescent="0.35">
      <c r="A29" t="s">
        <v>5</v>
      </c>
      <c r="F29" t="str">
        <f t="shared" si="1"/>
        <v xml:space="preserve">ProductCode='ADD2BJ' OR </v>
      </c>
    </row>
    <row r="30" spans="1:6" x14ac:dyDescent="0.35">
      <c r="A30" t="s">
        <v>326</v>
      </c>
      <c r="F30" t="str">
        <f t="shared" si="1"/>
        <v xml:space="preserve">ProductCode='ADD3BI' OR </v>
      </c>
    </row>
    <row r="31" spans="1:6" x14ac:dyDescent="0.35">
      <c r="A31" t="s">
        <v>229</v>
      </c>
      <c r="F31" t="str">
        <f t="shared" si="1"/>
        <v xml:space="preserve">ProductCode='ADDCOB' OR </v>
      </c>
    </row>
    <row r="32" spans="1:6" x14ac:dyDescent="0.35">
      <c r="A32" t="s">
        <v>121</v>
      </c>
      <c r="F32" t="str">
        <f t="shared" si="1"/>
        <v xml:space="preserve">ProductCode='ADDCOB1B' OR </v>
      </c>
    </row>
    <row r="33" spans="1:6" x14ac:dyDescent="0.35">
      <c r="A33" t="s">
        <v>227</v>
      </c>
      <c r="F33" t="str">
        <f t="shared" si="1"/>
        <v xml:space="preserve">ProductCode='ADDCOB2B' OR </v>
      </c>
    </row>
    <row r="34" spans="1:6" x14ac:dyDescent="0.35">
      <c r="A34" t="s">
        <v>3</v>
      </c>
      <c r="F34" t="str">
        <f t="shared" si="1"/>
        <v xml:space="preserve">ProductCode='ADDSPOUSE' OR 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2759-34E5-4E7F-B13A-A917C3479799}">
  <dimension ref="A1:E28"/>
  <sheetViews>
    <sheetView workbookViewId="0">
      <selection activeCell="C32" sqref="C32"/>
    </sheetView>
  </sheetViews>
  <sheetFormatPr defaultRowHeight="14.5" x14ac:dyDescent="0.35"/>
  <cols>
    <col min="1" max="1" width="41" customWidth="1"/>
    <col min="3" max="3" width="48.7265625" customWidth="1"/>
    <col min="5" max="5" width="48.453125" customWidth="1"/>
  </cols>
  <sheetData>
    <row r="1" spans="1:5" x14ac:dyDescent="0.35">
      <c r="A1" t="s">
        <v>258</v>
      </c>
      <c r="C1" t="str">
        <f>_xlfn.TEXTJOIN("",FALSE,"""",TRIM(A1),""",")</f>
        <v>"TUC/JNT-SOFT",</v>
      </c>
      <c r="E1" t="str">
        <f>_xlfn.TEXTJOIN("",FALSE,"ProductCode='",TRIM(A1),"' OR")</f>
        <v>ProductCode='TUC/JNT-SOFT' OR</v>
      </c>
    </row>
    <row r="2" spans="1:5" x14ac:dyDescent="0.35">
      <c r="A2" t="s">
        <v>240</v>
      </c>
      <c r="C2" t="str">
        <f t="shared" ref="C2:C15" si="0">_xlfn.TEXTJOIN("",FALSE,"""",TRIM(A2),""",")</f>
        <v>"TUC-SOFT",</v>
      </c>
      <c r="E2" t="str">
        <f t="shared" ref="E2:E15" si="1">_xlfn.TEXTJOIN("",FALSE,"ProductCode='",TRIM(A2),"' OR")</f>
        <v>ProductCode='TUC-SOFT' OR</v>
      </c>
    </row>
    <row r="3" spans="1:5" x14ac:dyDescent="0.35">
      <c r="A3" t="s">
        <v>251</v>
      </c>
      <c r="C3" t="str">
        <f t="shared" si="0"/>
        <v>"PRE-QUAL REPORTS",</v>
      </c>
      <c r="E3" t="str">
        <f t="shared" si="1"/>
        <v>ProductCode='PRE-QUAL REPORTS' OR</v>
      </c>
    </row>
    <row r="4" spans="1:5" x14ac:dyDescent="0.35">
      <c r="A4" t="s">
        <v>315</v>
      </c>
      <c r="C4" t="str">
        <f t="shared" si="0"/>
        <v>"EQF/JNT-SOFT",</v>
      </c>
      <c r="E4" t="str">
        <f t="shared" si="1"/>
        <v>ProductCode='EQF/JNT-SOFT' OR</v>
      </c>
    </row>
    <row r="5" spans="1:5" x14ac:dyDescent="0.35">
      <c r="A5" t="s">
        <v>262</v>
      </c>
      <c r="C5" t="str">
        <f t="shared" si="0"/>
        <v>"EQF/TUC/JNT-SOFT",</v>
      </c>
      <c r="E5" t="str">
        <f t="shared" si="1"/>
        <v>ProductCode='EQF/TUC/JNT-SOFT' OR</v>
      </c>
    </row>
    <row r="6" spans="1:5" x14ac:dyDescent="0.35">
      <c r="A6" t="s">
        <v>61</v>
      </c>
      <c r="C6" t="str">
        <f t="shared" si="0"/>
        <v>"EQF/TUC-SOFT",</v>
      </c>
      <c r="E6" t="str">
        <f t="shared" si="1"/>
        <v>ProductCode='EQF/TUC-SOFT' OR</v>
      </c>
    </row>
    <row r="7" spans="1:5" x14ac:dyDescent="0.35">
      <c r="A7" t="s">
        <v>220</v>
      </c>
      <c r="C7" t="str">
        <f t="shared" si="0"/>
        <v>"EQF-SOFT",</v>
      </c>
      <c r="E7" t="str">
        <f t="shared" si="1"/>
        <v>ProductCode='EQF-SOFT' OR</v>
      </c>
    </row>
    <row r="8" spans="1:5" x14ac:dyDescent="0.35">
      <c r="A8" t="s">
        <v>319</v>
      </c>
      <c r="C8" t="str">
        <f t="shared" si="0"/>
        <v>"EXP/EQF/JNT-SOFT",</v>
      </c>
      <c r="E8" t="str">
        <f t="shared" si="1"/>
        <v>ProductCode='EXP/EQF/JNT-SOFT' OR</v>
      </c>
    </row>
    <row r="9" spans="1:5" x14ac:dyDescent="0.35">
      <c r="A9" t="s">
        <v>82</v>
      </c>
      <c r="C9" t="str">
        <f t="shared" si="0"/>
        <v>"EXP/EQF/TUC/JNT-SOFT",</v>
      </c>
      <c r="E9" t="str">
        <f t="shared" si="1"/>
        <v>ProductCode='EXP/EQF/TUC/JNT-SOFT' OR</v>
      </c>
    </row>
    <row r="10" spans="1:5" x14ac:dyDescent="0.35">
      <c r="A10" t="s">
        <v>40</v>
      </c>
      <c r="C10" t="str">
        <f t="shared" si="0"/>
        <v>"EXP/EQF/TUC-SOFT",</v>
      </c>
      <c r="E10" t="str">
        <f t="shared" si="1"/>
        <v>ProductCode='EXP/EQF/TUC-SOFT' OR</v>
      </c>
    </row>
    <row r="11" spans="1:5" x14ac:dyDescent="0.35">
      <c r="A11" t="s">
        <v>21</v>
      </c>
      <c r="C11" t="str">
        <f t="shared" si="0"/>
        <v>"EXP/EQF-SOFT",</v>
      </c>
      <c r="E11" t="str">
        <f t="shared" si="1"/>
        <v>ProductCode='EXP/EQF-SOFT' OR</v>
      </c>
    </row>
    <row r="12" spans="1:5" x14ac:dyDescent="0.35">
      <c r="A12" t="s">
        <v>44</v>
      </c>
      <c r="C12" t="str">
        <f t="shared" si="0"/>
        <v>"EXP/JNT-SOFT",</v>
      </c>
      <c r="E12" t="str">
        <f t="shared" si="1"/>
        <v>ProductCode='EXP/JNT-SOFT' OR</v>
      </c>
    </row>
    <row r="13" spans="1:5" x14ac:dyDescent="0.35">
      <c r="A13" t="s">
        <v>25</v>
      </c>
      <c r="C13" t="str">
        <f t="shared" si="0"/>
        <v>"EXP/TUC/JNT-SOFT",</v>
      </c>
      <c r="E13" t="str">
        <f t="shared" si="1"/>
        <v>ProductCode='EXP/TUC/JNT-SOFT' OR</v>
      </c>
    </row>
    <row r="14" spans="1:5" x14ac:dyDescent="0.35">
      <c r="A14" t="s">
        <v>151</v>
      </c>
      <c r="C14" t="str">
        <f t="shared" si="0"/>
        <v>"EXP/TUC-SOFT",</v>
      </c>
      <c r="E14" t="str">
        <f t="shared" si="1"/>
        <v>ProductCode='EXP/TUC-SOFT' OR</v>
      </c>
    </row>
    <row r="15" spans="1:5" x14ac:dyDescent="0.35">
      <c r="A15" t="s">
        <v>176</v>
      </c>
      <c r="C15" t="str">
        <f t="shared" si="0"/>
        <v>"EXP-SOFT",</v>
      </c>
      <c r="E15" t="str">
        <f t="shared" si="1"/>
        <v>ProductCode='EXP-SOFT' OR</v>
      </c>
    </row>
    <row r="19" spans="1:3" x14ac:dyDescent="0.35">
      <c r="A19" s="5" t="s">
        <v>998</v>
      </c>
      <c r="C19" s="5" t="s">
        <v>999</v>
      </c>
    </row>
    <row r="20" spans="1:3" x14ac:dyDescent="0.35">
      <c r="A20" t="s">
        <v>34</v>
      </c>
    </row>
    <row r="21" spans="1:3" x14ac:dyDescent="0.35">
      <c r="A21" t="s">
        <v>7</v>
      </c>
    </row>
    <row r="22" spans="1:3" x14ac:dyDescent="0.35">
      <c r="A22" t="s">
        <v>210</v>
      </c>
    </row>
    <row r="23" spans="1:3" x14ac:dyDescent="0.35">
      <c r="A23" t="s">
        <v>5</v>
      </c>
    </row>
    <row r="24" spans="1:3" x14ac:dyDescent="0.35">
      <c r="A24" t="s">
        <v>326</v>
      </c>
    </row>
    <row r="25" spans="1:3" x14ac:dyDescent="0.35">
      <c r="A25" t="s">
        <v>229</v>
      </c>
    </row>
    <row r="26" spans="1:3" x14ac:dyDescent="0.35">
      <c r="A26" t="s">
        <v>121</v>
      </c>
    </row>
    <row r="27" spans="1:3" x14ac:dyDescent="0.35">
      <c r="A27" t="s">
        <v>227</v>
      </c>
    </row>
    <row r="28" spans="1:3" x14ac:dyDescent="0.35">
      <c r="A28" t="s">
        <v>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5B88-3E67-4E6F-BB36-1E657C3A7803}">
  <dimension ref="A1:B252"/>
  <sheetViews>
    <sheetView tabSelected="1" workbookViewId="0">
      <selection activeCell="D12" sqref="D12"/>
    </sheetView>
  </sheetViews>
  <sheetFormatPr defaultRowHeight="14.5" x14ac:dyDescent="0.35"/>
  <cols>
    <col min="1" max="1" width="57" bestFit="1" customWidth="1"/>
    <col min="2" max="2" width="17" bestFit="1" customWidth="1"/>
  </cols>
  <sheetData>
    <row r="1" spans="1:2" x14ac:dyDescent="0.35">
      <c r="A1" s="9" t="s">
        <v>1173</v>
      </c>
      <c r="B1" s="9" t="s">
        <v>1174</v>
      </c>
    </row>
    <row r="2" spans="1:2" x14ac:dyDescent="0.35">
      <c r="A2" s="14" t="s">
        <v>1016</v>
      </c>
      <c r="B2" t="s">
        <v>1175</v>
      </c>
    </row>
    <row r="3" spans="1:2" x14ac:dyDescent="0.35">
      <c r="A3" s="14" t="s">
        <v>1019</v>
      </c>
      <c r="B3" t="s">
        <v>1175</v>
      </c>
    </row>
    <row r="4" spans="1:2" x14ac:dyDescent="0.35">
      <c r="A4" s="14" t="s">
        <v>1021</v>
      </c>
      <c r="B4" t="s">
        <v>1175</v>
      </c>
    </row>
    <row r="5" spans="1:2" x14ac:dyDescent="0.35">
      <c r="A5" s="14" t="s">
        <v>192</v>
      </c>
      <c r="B5" t="s">
        <v>1175</v>
      </c>
    </row>
    <row r="6" spans="1:2" x14ac:dyDescent="0.35">
      <c r="A6" s="14" t="s">
        <v>236</v>
      </c>
      <c r="B6" t="s">
        <v>1176</v>
      </c>
    </row>
    <row r="7" spans="1:2" x14ac:dyDescent="0.35">
      <c r="A7" s="14" t="s">
        <v>136</v>
      </c>
      <c r="B7" t="s">
        <v>1176</v>
      </c>
    </row>
    <row r="8" spans="1:2" x14ac:dyDescent="0.35">
      <c r="A8" s="14" t="s">
        <v>129</v>
      </c>
      <c r="B8" t="s">
        <v>1176</v>
      </c>
    </row>
    <row r="9" spans="1:2" x14ac:dyDescent="0.35">
      <c r="A9" s="14" t="s">
        <v>62</v>
      </c>
      <c r="B9" t="s">
        <v>1176</v>
      </c>
    </row>
    <row r="10" spans="1:2" x14ac:dyDescent="0.35">
      <c r="A10" s="14" t="s">
        <v>34</v>
      </c>
      <c r="B10" t="s">
        <v>1175</v>
      </c>
    </row>
    <row r="11" spans="1:2" x14ac:dyDescent="0.35">
      <c r="A11" s="14" t="s">
        <v>7</v>
      </c>
      <c r="B11" t="s">
        <v>1175</v>
      </c>
    </row>
    <row r="12" spans="1:2" x14ac:dyDescent="0.35">
      <c r="A12" s="14" t="s">
        <v>210</v>
      </c>
      <c r="B12" t="s">
        <v>1175</v>
      </c>
    </row>
    <row r="13" spans="1:2" x14ac:dyDescent="0.35">
      <c r="A13" s="14" t="s">
        <v>5</v>
      </c>
      <c r="B13" t="s">
        <v>1175</v>
      </c>
    </row>
    <row r="14" spans="1:2" x14ac:dyDescent="0.35">
      <c r="A14" s="14" t="s">
        <v>229</v>
      </c>
      <c r="B14" t="s">
        <v>1175</v>
      </c>
    </row>
    <row r="15" spans="1:2" x14ac:dyDescent="0.35">
      <c r="A15" s="14" t="s">
        <v>121</v>
      </c>
      <c r="B15" t="s">
        <v>1175</v>
      </c>
    </row>
    <row r="16" spans="1:2" x14ac:dyDescent="0.35">
      <c r="A16" s="14" t="s">
        <v>227</v>
      </c>
      <c r="B16" t="s">
        <v>1175</v>
      </c>
    </row>
    <row r="17" spans="1:2" x14ac:dyDescent="0.35">
      <c r="A17" s="14" t="s">
        <v>3</v>
      </c>
      <c r="B17" t="s">
        <v>1175</v>
      </c>
    </row>
    <row r="18" spans="1:2" x14ac:dyDescent="0.35">
      <c r="A18" s="14" t="s">
        <v>311</v>
      </c>
      <c r="B18" t="s">
        <v>1177</v>
      </c>
    </row>
    <row r="19" spans="1:2" x14ac:dyDescent="0.35">
      <c r="A19" s="13" t="s">
        <v>1014</v>
      </c>
      <c r="B19" t="s">
        <v>1178</v>
      </c>
    </row>
    <row r="20" spans="1:2" x14ac:dyDescent="0.35">
      <c r="A20" s="14" t="s">
        <v>188</v>
      </c>
      <c r="B20" t="s">
        <v>1175</v>
      </c>
    </row>
    <row r="21" spans="1:2" x14ac:dyDescent="0.35">
      <c r="A21" s="14" t="s">
        <v>226</v>
      </c>
      <c r="B21" t="s">
        <v>1175</v>
      </c>
    </row>
    <row r="22" spans="1:2" x14ac:dyDescent="0.35">
      <c r="A22" s="14" t="s">
        <v>1023</v>
      </c>
      <c r="B22" t="s">
        <v>1179</v>
      </c>
    </row>
    <row r="23" spans="1:2" x14ac:dyDescent="0.35">
      <c r="A23" s="14" t="s">
        <v>1024</v>
      </c>
      <c r="B23" t="s">
        <v>1179</v>
      </c>
    </row>
    <row r="24" spans="1:2" x14ac:dyDescent="0.35">
      <c r="A24" s="14" t="s">
        <v>1025</v>
      </c>
      <c r="B24" t="s">
        <v>1179</v>
      </c>
    </row>
    <row r="25" spans="1:2" x14ac:dyDescent="0.35">
      <c r="A25" s="14" t="s">
        <v>1026</v>
      </c>
      <c r="B25" t="s">
        <v>1179</v>
      </c>
    </row>
    <row r="26" spans="1:2" x14ac:dyDescent="0.35">
      <c r="A26" s="14" t="s">
        <v>2</v>
      </c>
      <c r="B26" t="s">
        <v>1175</v>
      </c>
    </row>
    <row r="27" spans="1:2" x14ac:dyDescent="0.35">
      <c r="A27" s="13" t="s">
        <v>74</v>
      </c>
      <c r="B27" t="s">
        <v>1175</v>
      </c>
    </row>
    <row r="28" spans="1:2" x14ac:dyDescent="0.35">
      <c r="A28" s="14" t="s">
        <v>165</v>
      </c>
      <c r="B28" t="s">
        <v>1179</v>
      </c>
    </row>
    <row r="29" spans="1:2" x14ac:dyDescent="0.35">
      <c r="A29" s="14" t="s">
        <v>231</v>
      </c>
      <c r="B29" t="s">
        <v>1179</v>
      </c>
    </row>
    <row r="30" spans="1:2" x14ac:dyDescent="0.35">
      <c r="A30" s="14" t="s">
        <v>33</v>
      </c>
      <c r="B30" t="s">
        <v>1179</v>
      </c>
    </row>
    <row r="31" spans="1:2" x14ac:dyDescent="0.35">
      <c r="A31" s="14" t="s">
        <v>138</v>
      </c>
      <c r="B31" t="s">
        <v>1179</v>
      </c>
    </row>
    <row r="32" spans="1:2" x14ac:dyDescent="0.35">
      <c r="A32" s="14" t="s">
        <v>1028</v>
      </c>
      <c r="B32" t="s">
        <v>1179</v>
      </c>
    </row>
    <row r="33" spans="1:2" x14ac:dyDescent="0.35">
      <c r="A33" s="14" t="s">
        <v>1029</v>
      </c>
      <c r="B33" t="s">
        <v>1179</v>
      </c>
    </row>
    <row r="34" spans="1:2" x14ac:dyDescent="0.35">
      <c r="A34" s="14" t="s">
        <v>169</v>
      </c>
      <c r="B34" t="s">
        <v>1175</v>
      </c>
    </row>
    <row r="35" spans="1:2" x14ac:dyDescent="0.35">
      <c r="A35" s="17" t="s">
        <v>270</v>
      </c>
      <c r="B35" t="s">
        <v>1175</v>
      </c>
    </row>
    <row r="36" spans="1:2" x14ac:dyDescent="0.35">
      <c r="A36" s="14" t="s">
        <v>139</v>
      </c>
      <c r="B36" t="s">
        <v>1175</v>
      </c>
    </row>
    <row r="37" spans="1:2" x14ac:dyDescent="0.35">
      <c r="A37" s="14" t="s">
        <v>69</v>
      </c>
      <c r="B37" t="s">
        <v>1175</v>
      </c>
    </row>
    <row r="38" spans="1:2" x14ac:dyDescent="0.35">
      <c r="A38" s="14" t="s">
        <v>1031</v>
      </c>
      <c r="B38" t="s">
        <v>1180</v>
      </c>
    </row>
    <row r="39" spans="1:2" x14ac:dyDescent="0.35">
      <c r="A39" s="13" t="s">
        <v>1181</v>
      </c>
      <c r="B39" t="s">
        <v>1180</v>
      </c>
    </row>
    <row r="40" spans="1:2" x14ac:dyDescent="0.35">
      <c r="A40" s="14" t="s">
        <v>281</v>
      </c>
      <c r="B40" t="s">
        <v>1175</v>
      </c>
    </row>
    <row r="41" spans="1:2" x14ac:dyDescent="0.35">
      <c r="A41" s="14" t="s">
        <v>0</v>
      </c>
      <c r="B41" t="s">
        <v>1175</v>
      </c>
    </row>
    <row r="42" spans="1:2" x14ac:dyDescent="0.35">
      <c r="A42" s="13" t="s">
        <v>1032</v>
      </c>
      <c r="B42" t="s">
        <v>1175</v>
      </c>
    </row>
    <row r="43" spans="1:2" x14ac:dyDescent="0.35">
      <c r="A43" s="14" t="s">
        <v>27</v>
      </c>
      <c r="B43" t="s">
        <v>1175</v>
      </c>
    </row>
    <row r="44" spans="1:2" x14ac:dyDescent="0.35">
      <c r="A44" s="14" t="s">
        <v>26</v>
      </c>
      <c r="B44" t="s">
        <v>1175</v>
      </c>
    </row>
    <row r="45" spans="1:2" x14ac:dyDescent="0.35">
      <c r="A45" s="14" t="s">
        <v>350</v>
      </c>
      <c r="B45" t="s">
        <v>1175</v>
      </c>
    </row>
    <row r="46" spans="1:2" x14ac:dyDescent="0.35">
      <c r="A46" s="14" t="s">
        <v>1033</v>
      </c>
      <c r="B46" t="s">
        <v>1175</v>
      </c>
    </row>
    <row r="47" spans="1:2" x14ac:dyDescent="0.35">
      <c r="A47" s="14" t="s">
        <v>1034</v>
      </c>
      <c r="B47" t="s">
        <v>1175</v>
      </c>
    </row>
    <row r="48" spans="1:2" x14ac:dyDescent="0.35">
      <c r="A48" s="13" t="s">
        <v>1182</v>
      </c>
      <c r="B48" t="s">
        <v>1175</v>
      </c>
    </row>
    <row r="49" spans="1:2" x14ac:dyDescent="0.35">
      <c r="A49" s="13" t="s">
        <v>1183</v>
      </c>
      <c r="B49" t="s">
        <v>1175</v>
      </c>
    </row>
    <row r="50" spans="1:2" x14ac:dyDescent="0.35">
      <c r="A50" s="14" t="s">
        <v>106</v>
      </c>
      <c r="B50" t="s">
        <v>1175</v>
      </c>
    </row>
    <row r="51" spans="1:2" x14ac:dyDescent="0.35">
      <c r="A51" s="13" t="s">
        <v>1184</v>
      </c>
      <c r="B51" t="s">
        <v>1175</v>
      </c>
    </row>
    <row r="52" spans="1:2" x14ac:dyDescent="0.35">
      <c r="A52" s="14" t="s">
        <v>1035</v>
      </c>
      <c r="B52" t="s">
        <v>1175</v>
      </c>
    </row>
    <row r="53" spans="1:2" x14ac:dyDescent="0.35">
      <c r="A53" s="14" t="s">
        <v>349</v>
      </c>
      <c r="B53" t="s">
        <v>1175</v>
      </c>
    </row>
    <row r="54" spans="1:2" x14ac:dyDescent="0.35">
      <c r="A54" s="14" t="s">
        <v>1036</v>
      </c>
      <c r="B54" t="s">
        <v>1175</v>
      </c>
    </row>
    <row r="55" spans="1:2" x14ac:dyDescent="0.35">
      <c r="A55" s="14" t="s">
        <v>1037</v>
      </c>
      <c r="B55" t="s">
        <v>1175</v>
      </c>
    </row>
    <row r="56" spans="1:2" x14ac:dyDescent="0.35">
      <c r="A56" s="14" t="s">
        <v>1039</v>
      </c>
      <c r="B56" t="s">
        <v>1175</v>
      </c>
    </row>
    <row r="57" spans="1:2" x14ac:dyDescent="0.35">
      <c r="A57" s="13" t="s">
        <v>1185</v>
      </c>
      <c r="B57" t="s">
        <v>1175</v>
      </c>
    </row>
    <row r="58" spans="1:2" x14ac:dyDescent="0.35">
      <c r="A58" s="14" t="s">
        <v>1043</v>
      </c>
      <c r="B58" t="s">
        <v>1175</v>
      </c>
    </row>
    <row r="59" spans="1:2" x14ac:dyDescent="0.35">
      <c r="A59" s="13" t="s">
        <v>1186</v>
      </c>
      <c r="B59" t="s">
        <v>1175</v>
      </c>
    </row>
    <row r="60" spans="1:2" x14ac:dyDescent="0.35">
      <c r="A60" s="14" t="s">
        <v>355</v>
      </c>
      <c r="B60" t="s">
        <v>1175</v>
      </c>
    </row>
    <row r="61" spans="1:2" x14ac:dyDescent="0.35">
      <c r="A61" s="14" t="s">
        <v>59</v>
      </c>
      <c r="B61" t="s">
        <v>1175</v>
      </c>
    </row>
    <row r="62" spans="1:2" x14ac:dyDescent="0.35">
      <c r="A62" s="13" t="s">
        <v>1187</v>
      </c>
      <c r="B62" t="s">
        <v>1175</v>
      </c>
    </row>
    <row r="63" spans="1:2" x14ac:dyDescent="0.35">
      <c r="A63" s="14" t="s">
        <v>1044</v>
      </c>
      <c r="B63" t="s">
        <v>1175</v>
      </c>
    </row>
    <row r="64" spans="1:2" x14ac:dyDescent="0.35">
      <c r="A64" s="14" t="s">
        <v>300</v>
      </c>
      <c r="B64" t="s">
        <v>1175</v>
      </c>
    </row>
    <row r="65" spans="1:2" x14ac:dyDescent="0.35">
      <c r="A65" s="14" t="s">
        <v>1045</v>
      </c>
      <c r="B65" t="s">
        <v>1175</v>
      </c>
    </row>
    <row r="66" spans="1:2" x14ac:dyDescent="0.35">
      <c r="A66" s="14" t="s">
        <v>1046</v>
      </c>
      <c r="B66" t="s">
        <v>1175</v>
      </c>
    </row>
    <row r="67" spans="1:2" x14ac:dyDescent="0.35">
      <c r="A67" s="14" t="s">
        <v>130</v>
      </c>
      <c r="B67" t="s">
        <v>1175</v>
      </c>
    </row>
    <row r="68" spans="1:2" x14ac:dyDescent="0.35">
      <c r="A68" s="14" t="s">
        <v>299</v>
      </c>
      <c r="B68" t="s">
        <v>1175</v>
      </c>
    </row>
    <row r="69" spans="1:2" x14ac:dyDescent="0.35">
      <c r="A69" s="13" t="s">
        <v>1188</v>
      </c>
      <c r="B69" t="s">
        <v>1175</v>
      </c>
    </row>
    <row r="70" spans="1:2" x14ac:dyDescent="0.35">
      <c r="A70" s="14" t="s">
        <v>1047</v>
      </c>
      <c r="B70" t="s">
        <v>1175</v>
      </c>
    </row>
    <row r="71" spans="1:2" x14ac:dyDescent="0.35">
      <c r="A71" s="13" t="s">
        <v>95</v>
      </c>
      <c r="B71" t="s">
        <v>1175</v>
      </c>
    </row>
    <row r="72" spans="1:2" x14ac:dyDescent="0.35">
      <c r="A72" s="13" t="s">
        <v>1048</v>
      </c>
      <c r="B72" t="s">
        <v>1175</v>
      </c>
    </row>
    <row r="73" spans="1:2" x14ac:dyDescent="0.35">
      <c r="A73" s="13" t="s">
        <v>1189</v>
      </c>
      <c r="B73" t="s">
        <v>1175</v>
      </c>
    </row>
    <row r="74" spans="1:2" x14ac:dyDescent="0.35">
      <c r="A74" s="14" t="s">
        <v>271</v>
      </c>
      <c r="B74" t="s">
        <v>1175</v>
      </c>
    </row>
    <row r="75" spans="1:2" x14ac:dyDescent="0.35">
      <c r="A75" s="14" t="s">
        <v>295</v>
      </c>
      <c r="B75" t="s">
        <v>1175</v>
      </c>
    </row>
    <row r="76" spans="1:2" x14ac:dyDescent="0.35">
      <c r="A76" s="14" t="s">
        <v>214</v>
      </c>
      <c r="B76" t="s">
        <v>1175</v>
      </c>
    </row>
    <row r="77" spans="1:2" x14ac:dyDescent="0.35">
      <c r="A77" s="14" t="s">
        <v>122</v>
      </c>
      <c r="B77" t="s">
        <v>1177</v>
      </c>
    </row>
    <row r="78" spans="1:2" x14ac:dyDescent="0.35">
      <c r="A78" s="14" t="s">
        <v>142</v>
      </c>
      <c r="B78" t="s">
        <v>1178</v>
      </c>
    </row>
    <row r="79" spans="1:2" x14ac:dyDescent="0.35">
      <c r="A79" s="14" t="s">
        <v>193</v>
      </c>
      <c r="B79" t="s">
        <v>1178</v>
      </c>
    </row>
    <row r="80" spans="1:2" x14ac:dyDescent="0.35">
      <c r="A80" s="14" t="s">
        <v>1001</v>
      </c>
      <c r="B80" t="s">
        <v>1190</v>
      </c>
    </row>
    <row r="81" spans="1:2" x14ac:dyDescent="0.35">
      <c r="A81" s="14" t="s">
        <v>50</v>
      </c>
      <c r="B81" t="s">
        <v>1179</v>
      </c>
    </row>
    <row r="82" spans="1:2" x14ac:dyDescent="0.35">
      <c r="A82" s="14" t="s">
        <v>329</v>
      </c>
      <c r="B82" t="s">
        <v>1179</v>
      </c>
    </row>
    <row r="83" spans="1:2" x14ac:dyDescent="0.35">
      <c r="A83" s="14" t="s">
        <v>141</v>
      </c>
      <c r="B83" t="s">
        <v>1175</v>
      </c>
    </row>
    <row r="84" spans="1:2" x14ac:dyDescent="0.35">
      <c r="A84" s="14" t="s">
        <v>143</v>
      </c>
      <c r="B84" t="s">
        <v>1175</v>
      </c>
    </row>
    <row r="85" spans="1:2" x14ac:dyDescent="0.35">
      <c r="A85" s="14" t="s">
        <v>315</v>
      </c>
      <c r="B85" t="s">
        <v>1175</v>
      </c>
    </row>
    <row r="86" spans="1:2" x14ac:dyDescent="0.35">
      <c r="A86" s="14" t="s">
        <v>269</v>
      </c>
      <c r="B86" t="s">
        <v>1175</v>
      </c>
    </row>
    <row r="87" spans="1:2" x14ac:dyDescent="0.35">
      <c r="A87" s="14" t="s">
        <v>332</v>
      </c>
      <c r="B87" t="s">
        <v>1175</v>
      </c>
    </row>
    <row r="88" spans="1:2" x14ac:dyDescent="0.35">
      <c r="A88" s="14" t="s">
        <v>262</v>
      </c>
      <c r="B88" t="s">
        <v>1175</v>
      </c>
    </row>
    <row r="89" spans="1:2" x14ac:dyDescent="0.35">
      <c r="A89" s="14" t="s">
        <v>61</v>
      </c>
      <c r="B89" t="s">
        <v>1175</v>
      </c>
    </row>
    <row r="90" spans="1:2" x14ac:dyDescent="0.35">
      <c r="A90" s="14" t="s">
        <v>220</v>
      </c>
      <c r="B90" t="s">
        <v>1175</v>
      </c>
    </row>
    <row r="91" spans="1:2" x14ac:dyDescent="0.35">
      <c r="A91" s="14" t="s">
        <v>22</v>
      </c>
      <c r="B91" t="s">
        <v>1191</v>
      </c>
    </row>
    <row r="92" spans="1:2" x14ac:dyDescent="0.35">
      <c r="A92" s="14" t="s">
        <v>212</v>
      </c>
      <c r="B92" t="s">
        <v>1175</v>
      </c>
    </row>
    <row r="93" spans="1:2" x14ac:dyDescent="0.35">
      <c r="A93" s="14" t="s">
        <v>309</v>
      </c>
      <c r="B93" t="s">
        <v>1175</v>
      </c>
    </row>
    <row r="94" spans="1:2" x14ac:dyDescent="0.35">
      <c r="A94" s="14" t="s">
        <v>334</v>
      </c>
      <c r="B94" t="s">
        <v>1175</v>
      </c>
    </row>
    <row r="95" spans="1:2" x14ac:dyDescent="0.35">
      <c r="A95" s="14" t="s">
        <v>319</v>
      </c>
      <c r="B95" t="s">
        <v>1175</v>
      </c>
    </row>
    <row r="96" spans="1:2" x14ac:dyDescent="0.35">
      <c r="A96" s="14" t="s">
        <v>209</v>
      </c>
      <c r="B96" t="s">
        <v>1175</v>
      </c>
    </row>
    <row r="97" spans="1:2" x14ac:dyDescent="0.35">
      <c r="A97" s="14" t="s">
        <v>118</v>
      </c>
      <c r="B97" t="s">
        <v>1175</v>
      </c>
    </row>
    <row r="98" spans="1:2" x14ac:dyDescent="0.35">
      <c r="A98" s="14" t="s">
        <v>82</v>
      </c>
      <c r="B98" t="s">
        <v>1175</v>
      </c>
    </row>
    <row r="99" spans="1:2" x14ac:dyDescent="0.35">
      <c r="A99" s="14" t="s">
        <v>40</v>
      </c>
      <c r="B99" t="s">
        <v>1175</v>
      </c>
    </row>
    <row r="100" spans="1:2" x14ac:dyDescent="0.35">
      <c r="A100" s="14" t="s">
        <v>21</v>
      </c>
      <c r="B100" t="s">
        <v>1175</v>
      </c>
    </row>
    <row r="101" spans="1:2" x14ac:dyDescent="0.35">
      <c r="A101" s="14" t="s">
        <v>249</v>
      </c>
      <c r="B101" t="s">
        <v>1175</v>
      </c>
    </row>
    <row r="102" spans="1:2" x14ac:dyDescent="0.35">
      <c r="A102" s="14" t="s">
        <v>44</v>
      </c>
      <c r="B102" t="s">
        <v>1175</v>
      </c>
    </row>
    <row r="103" spans="1:2" x14ac:dyDescent="0.35">
      <c r="A103" s="14" t="s">
        <v>283</v>
      </c>
      <c r="B103" t="s">
        <v>1175</v>
      </c>
    </row>
    <row r="104" spans="1:2" x14ac:dyDescent="0.35">
      <c r="A104" s="14" t="s">
        <v>145</v>
      </c>
      <c r="B104" t="s">
        <v>1175</v>
      </c>
    </row>
    <row r="105" spans="1:2" x14ac:dyDescent="0.35">
      <c r="A105" s="14" t="s">
        <v>25</v>
      </c>
      <c r="B105" t="s">
        <v>1175</v>
      </c>
    </row>
    <row r="106" spans="1:2" x14ac:dyDescent="0.35">
      <c r="A106" s="14" t="s">
        <v>151</v>
      </c>
      <c r="B106" t="s">
        <v>1175</v>
      </c>
    </row>
    <row r="107" spans="1:2" x14ac:dyDescent="0.35">
      <c r="A107" s="14" t="s">
        <v>176</v>
      </c>
      <c r="B107" t="s">
        <v>1175</v>
      </c>
    </row>
    <row r="108" spans="1:2" x14ac:dyDescent="0.35">
      <c r="A108" s="14" t="s">
        <v>1002</v>
      </c>
      <c r="B108" t="s">
        <v>1178</v>
      </c>
    </row>
    <row r="109" spans="1:2" x14ac:dyDescent="0.35">
      <c r="A109" s="14" t="s">
        <v>84</v>
      </c>
      <c r="B109" t="s">
        <v>1178</v>
      </c>
    </row>
    <row r="110" spans="1:2" x14ac:dyDescent="0.35">
      <c r="A110" s="14" t="s">
        <v>177</v>
      </c>
      <c r="B110" t="s">
        <v>1178</v>
      </c>
    </row>
    <row r="111" spans="1:2" x14ac:dyDescent="0.35">
      <c r="A111" s="14" t="s">
        <v>175</v>
      </c>
      <c r="B111" t="s">
        <v>1178</v>
      </c>
    </row>
    <row r="112" spans="1:2" x14ac:dyDescent="0.35">
      <c r="A112" s="14" t="s">
        <v>72</v>
      </c>
      <c r="B112" t="s">
        <v>1175</v>
      </c>
    </row>
    <row r="113" spans="1:2" x14ac:dyDescent="0.35">
      <c r="A113" s="14" t="s">
        <v>308</v>
      </c>
      <c r="B113" t="s">
        <v>1175</v>
      </c>
    </row>
    <row r="114" spans="1:2" x14ac:dyDescent="0.35">
      <c r="A114" s="14" t="s">
        <v>120</v>
      </c>
      <c r="B114" t="s">
        <v>1175</v>
      </c>
    </row>
    <row r="115" spans="1:2" x14ac:dyDescent="0.35">
      <c r="A115" s="14" t="s">
        <v>190</v>
      </c>
      <c r="B115" t="s">
        <v>1175</v>
      </c>
    </row>
    <row r="116" spans="1:2" x14ac:dyDescent="0.35">
      <c r="A116" s="14" t="s">
        <v>287</v>
      </c>
      <c r="B116" t="s">
        <v>1175</v>
      </c>
    </row>
    <row r="117" spans="1:2" x14ac:dyDescent="0.35">
      <c r="A117" s="14" t="s">
        <v>1004</v>
      </c>
      <c r="B117" t="s">
        <v>1192</v>
      </c>
    </row>
    <row r="118" spans="1:2" x14ac:dyDescent="0.35">
      <c r="A118" s="14" t="s">
        <v>217</v>
      </c>
      <c r="B118" t="s">
        <v>1178</v>
      </c>
    </row>
    <row r="119" spans="1:2" x14ac:dyDescent="0.35">
      <c r="A119" s="14" t="s">
        <v>289</v>
      </c>
      <c r="B119" t="s">
        <v>1177</v>
      </c>
    </row>
    <row r="120" spans="1:2" x14ac:dyDescent="0.35">
      <c r="A120" s="14" t="s">
        <v>11</v>
      </c>
      <c r="B120" t="s">
        <v>1193</v>
      </c>
    </row>
    <row r="121" spans="1:2" x14ac:dyDescent="0.35">
      <c r="A121" s="14" t="s">
        <v>170</v>
      </c>
      <c r="B121" t="s">
        <v>1193</v>
      </c>
    </row>
    <row r="122" spans="1:2" x14ac:dyDescent="0.35">
      <c r="A122" s="14" t="s">
        <v>211</v>
      </c>
      <c r="B122" t="s">
        <v>1193</v>
      </c>
    </row>
    <row r="123" spans="1:2" x14ac:dyDescent="0.35">
      <c r="A123" s="14" t="s">
        <v>6</v>
      </c>
      <c r="B123" t="s">
        <v>1193</v>
      </c>
    </row>
    <row r="124" spans="1:2" x14ac:dyDescent="0.35">
      <c r="A124" s="14" t="s">
        <v>148</v>
      </c>
      <c r="B124" t="s">
        <v>1193</v>
      </c>
    </row>
    <row r="125" spans="1:2" x14ac:dyDescent="0.35">
      <c r="A125" s="14" t="s">
        <v>260</v>
      </c>
      <c r="B125" t="s">
        <v>1193</v>
      </c>
    </row>
    <row r="126" spans="1:2" x14ac:dyDescent="0.35">
      <c r="A126" s="14" t="s">
        <v>286</v>
      </c>
      <c r="B126" t="s">
        <v>1193</v>
      </c>
    </row>
    <row r="127" spans="1:2" x14ac:dyDescent="0.35">
      <c r="A127" s="14" t="s">
        <v>1051</v>
      </c>
      <c r="B127" t="s">
        <v>1175</v>
      </c>
    </row>
    <row r="128" spans="1:2" x14ac:dyDescent="0.35">
      <c r="A128" s="14" t="s">
        <v>1052</v>
      </c>
      <c r="B128" t="s">
        <v>1175</v>
      </c>
    </row>
    <row r="129" spans="1:2" x14ac:dyDescent="0.35">
      <c r="A129" s="14" t="s">
        <v>1053</v>
      </c>
      <c r="B129" t="s">
        <v>1175</v>
      </c>
    </row>
    <row r="130" spans="1:2" x14ac:dyDescent="0.35">
      <c r="A130" s="14" t="s">
        <v>101</v>
      </c>
      <c r="B130" t="s">
        <v>1175</v>
      </c>
    </row>
    <row r="131" spans="1:2" x14ac:dyDescent="0.35">
      <c r="A131" s="14" t="s">
        <v>282</v>
      </c>
      <c r="B131" t="s">
        <v>1178</v>
      </c>
    </row>
    <row r="132" spans="1:2" x14ac:dyDescent="0.35">
      <c r="A132" s="14" t="s">
        <v>168</v>
      </c>
      <c r="B132" t="s">
        <v>1176</v>
      </c>
    </row>
    <row r="133" spans="1:2" x14ac:dyDescent="0.35">
      <c r="A133" s="17" t="s">
        <v>312</v>
      </c>
      <c r="B133" t="s">
        <v>1179</v>
      </c>
    </row>
    <row r="134" spans="1:2" x14ac:dyDescent="0.35">
      <c r="A134" s="14" t="s">
        <v>230</v>
      </c>
      <c r="B134" t="s">
        <v>1179</v>
      </c>
    </row>
    <row r="135" spans="1:2" x14ac:dyDescent="0.35">
      <c r="A135" s="14" t="s">
        <v>333</v>
      </c>
      <c r="B135" t="s">
        <v>1179</v>
      </c>
    </row>
    <row r="136" spans="1:2" x14ac:dyDescent="0.35">
      <c r="A136" s="14" t="s">
        <v>100</v>
      </c>
      <c r="B136" t="s">
        <v>1179</v>
      </c>
    </row>
    <row r="137" spans="1:2" x14ac:dyDescent="0.35">
      <c r="A137" s="14" t="s">
        <v>1054</v>
      </c>
      <c r="B137" t="s">
        <v>1179</v>
      </c>
    </row>
    <row r="138" spans="1:2" x14ac:dyDescent="0.35">
      <c r="A138" s="14" t="s">
        <v>1055</v>
      </c>
      <c r="B138" t="s">
        <v>1179</v>
      </c>
    </row>
    <row r="139" spans="1:2" x14ac:dyDescent="0.35">
      <c r="A139" s="14" t="s">
        <v>35</v>
      </c>
      <c r="B139" t="s">
        <v>1177</v>
      </c>
    </row>
    <row r="140" spans="1:2" x14ac:dyDescent="0.35">
      <c r="A140" s="14" t="s">
        <v>53</v>
      </c>
      <c r="B140" t="s">
        <v>1177</v>
      </c>
    </row>
    <row r="141" spans="1:2" x14ac:dyDescent="0.35">
      <c r="A141" s="14" t="s">
        <v>272</v>
      </c>
      <c r="B141" t="s">
        <v>1177</v>
      </c>
    </row>
    <row r="142" spans="1:2" x14ac:dyDescent="0.35">
      <c r="A142" s="14" t="s">
        <v>305</v>
      </c>
      <c r="B142" t="s">
        <v>1175</v>
      </c>
    </row>
    <row r="143" spans="1:2" x14ac:dyDescent="0.35">
      <c r="A143" s="14" t="s">
        <v>8</v>
      </c>
      <c r="B143" t="s">
        <v>1178</v>
      </c>
    </row>
    <row r="144" spans="1:2" x14ac:dyDescent="0.35">
      <c r="A144" s="14" t="s">
        <v>284</v>
      </c>
      <c r="B144" t="s">
        <v>1178</v>
      </c>
    </row>
    <row r="145" spans="1:2" x14ac:dyDescent="0.35">
      <c r="A145" s="13" t="s">
        <v>1194</v>
      </c>
      <c r="B145" t="s">
        <v>1175</v>
      </c>
    </row>
    <row r="146" spans="1:2" x14ac:dyDescent="0.35">
      <c r="A146" s="13" t="s">
        <v>1195</v>
      </c>
      <c r="B146" t="s">
        <v>1175</v>
      </c>
    </row>
    <row r="147" spans="1:2" x14ac:dyDescent="0.35">
      <c r="A147" s="14" t="s">
        <v>1056</v>
      </c>
      <c r="B147" t="s">
        <v>1175</v>
      </c>
    </row>
    <row r="148" spans="1:2" x14ac:dyDescent="0.35">
      <c r="A148" s="14" t="s">
        <v>1057</v>
      </c>
      <c r="B148" t="s">
        <v>1175</v>
      </c>
    </row>
    <row r="149" spans="1:2" x14ac:dyDescent="0.35">
      <c r="A149" s="14" t="s">
        <v>331</v>
      </c>
      <c r="B149" t="s">
        <v>1175</v>
      </c>
    </row>
    <row r="150" spans="1:2" x14ac:dyDescent="0.35">
      <c r="A150" s="14" t="s">
        <v>1058</v>
      </c>
      <c r="B150" t="s">
        <v>1175</v>
      </c>
    </row>
    <row r="151" spans="1:2" x14ac:dyDescent="0.35">
      <c r="A151" s="13" t="s">
        <v>1196</v>
      </c>
      <c r="B151" t="s">
        <v>1175</v>
      </c>
    </row>
    <row r="152" spans="1:2" x14ac:dyDescent="0.35">
      <c r="A152" s="13" t="s">
        <v>1059</v>
      </c>
      <c r="B152" t="s">
        <v>1175</v>
      </c>
    </row>
    <row r="153" spans="1:2" x14ac:dyDescent="0.35">
      <c r="A153" s="14" t="s">
        <v>1060</v>
      </c>
      <c r="B153" t="s">
        <v>1175</v>
      </c>
    </row>
    <row r="154" spans="1:2" x14ac:dyDescent="0.35">
      <c r="A154" s="13" t="s">
        <v>1061</v>
      </c>
      <c r="B154" t="s">
        <v>1175</v>
      </c>
    </row>
    <row r="155" spans="1:2" x14ac:dyDescent="0.35">
      <c r="A155" s="14" t="s">
        <v>1062</v>
      </c>
      <c r="B155" t="s">
        <v>1175</v>
      </c>
    </row>
    <row r="156" spans="1:2" x14ac:dyDescent="0.35">
      <c r="A156" s="13" t="s">
        <v>1197</v>
      </c>
      <c r="B156" t="s">
        <v>1175</v>
      </c>
    </row>
    <row r="157" spans="1:2" x14ac:dyDescent="0.35">
      <c r="A157" s="13" t="s">
        <v>1063</v>
      </c>
      <c r="B157" t="s">
        <v>1175</v>
      </c>
    </row>
    <row r="158" spans="1:2" x14ac:dyDescent="0.35">
      <c r="A158" s="14" t="s">
        <v>267</v>
      </c>
      <c r="B158" t="s">
        <v>1175</v>
      </c>
    </row>
    <row r="159" spans="1:2" x14ac:dyDescent="0.35">
      <c r="A159" s="14" t="s">
        <v>1065</v>
      </c>
      <c r="B159" t="s">
        <v>1175</v>
      </c>
    </row>
    <row r="160" spans="1:2" x14ac:dyDescent="0.35">
      <c r="A160" s="14" t="s">
        <v>1067</v>
      </c>
      <c r="B160" t="s">
        <v>1175</v>
      </c>
    </row>
    <row r="161" spans="1:2" x14ac:dyDescent="0.35">
      <c r="A161" s="14" t="s">
        <v>1069</v>
      </c>
      <c r="B161" t="s">
        <v>1175</v>
      </c>
    </row>
    <row r="162" spans="1:2" x14ac:dyDescent="0.35">
      <c r="A162" s="14" t="s">
        <v>346</v>
      </c>
      <c r="B162" t="s">
        <v>1175</v>
      </c>
    </row>
    <row r="163" spans="1:2" x14ac:dyDescent="0.35">
      <c r="A163" s="13" t="s">
        <v>1198</v>
      </c>
      <c r="B163" t="s">
        <v>1175</v>
      </c>
    </row>
    <row r="164" spans="1:2" x14ac:dyDescent="0.35">
      <c r="A164" s="14" t="s">
        <v>1071</v>
      </c>
      <c r="B164" t="s">
        <v>1175</v>
      </c>
    </row>
    <row r="165" spans="1:2" x14ac:dyDescent="0.35">
      <c r="A165" s="13" t="s">
        <v>1199</v>
      </c>
      <c r="B165" t="s">
        <v>1175</v>
      </c>
    </row>
    <row r="166" spans="1:2" x14ac:dyDescent="0.35">
      <c r="A166" s="13" t="s">
        <v>1200</v>
      </c>
      <c r="B166" t="s">
        <v>1175</v>
      </c>
    </row>
    <row r="167" spans="1:2" x14ac:dyDescent="0.35">
      <c r="A167" s="13" t="s">
        <v>1201</v>
      </c>
      <c r="B167" t="s">
        <v>1175</v>
      </c>
    </row>
    <row r="168" spans="1:2" x14ac:dyDescent="0.35">
      <c r="A168" s="14" t="s">
        <v>1074</v>
      </c>
      <c r="B168" t="s">
        <v>1175</v>
      </c>
    </row>
    <row r="169" spans="1:2" x14ac:dyDescent="0.35">
      <c r="A169" s="14" t="s">
        <v>94</v>
      </c>
      <c r="B169" t="s">
        <v>1175</v>
      </c>
    </row>
    <row r="170" spans="1:2" x14ac:dyDescent="0.35">
      <c r="A170" s="14" t="s">
        <v>1075</v>
      </c>
      <c r="B170" t="s">
        <v>1175</v>
      </c>
    </row>
    <row r="171" spans="1:2" x14ac:dyDescent="0.35">
      <c r="A171" s="14" t="s">
        <v>1077</v>
      </c>
      <c r="B171" t="s">
        <v>1175</v>
      </c>
    </row>
    <row r="172" spans="1:2" x14ac:dyDescent="0.35">
      <c r="A172" s="14" t="s">
        <v>9</v>
      </c>
      <c r="B172" t="s">
        <v>1178</v>
      </c>
    </row>
    <row r="173" spans="1:2" x14ac:dyDescent="0.35">
      <c r="A173" s="13" t="s">
        <v>76</v>
      </c>
      <c r="B173" t="s">
        <v>1175</v>
      </c>
    </row>
    <row r="174" spans="1:2" x14ac:dyDescent="0.35">
      <c r="A174" s="14" t="s">
        <v>88</v>
      </c>
      <c r="B174" t="s">
        <v>1179</v>
      </c>
    </row>
    <row r="175" spans="1:2" x14ac:dyDescent="0.35">
      <c r="A175" s="14" t="s">
        <v>273</v>
      </c>
      <c r="B175" t="s">
        <v>1179</v>
      </c>
    </row>
    <row r="176" spans="1:2" x14ac:dyDescent="0.35">
      <c r="A176" s="14" t="s">
        <v>237</v>
      </c>
      <c r="B176" t="s">
        <v>1179</v>
      </c>
    </row>
    <row r="177" spans="1:2" x14ac:dyDescent="0.35">
      <c r="A177" s="14" t="s">
        <v>42</v>
      </c>
      <c r="B177" t="s">
        <v>1179</v>
      </c>
    </row>
    <row r="178" spans="1:2" x14ac:dyDescent="0.35">
      <c r="A178" s="14" t="s">
        <v>110</v>
      </c>
      <c r="B178" t="s">
        <v>1179</v>
      </c>
    </row>
    <row r="179" spans="1:2" x14ac:dyDescent="0.35">
      <c r="A179" s="14" t="s">
        <v>327</v>
      </c>
      <c r="B179" t="s">
        <v>1179</v>
      </c>
    </row>
    <row r="180" spans="1:2" x14ac:dyDescent="0.35">
      <c r="A180" s="14" t="s">
        <v>1008</v>
      </c>
      <c r="B180" t="s">
        <v>1178</v>
      </c>
    </row>
    <row r="181" spans="1:2" x14ac:dyDescent="0.35">
      <c r="A181" s="13" t="s">
        <v>1202</v>
      </c>
      <c r="B181" t="s">
        <v>1178</v>
      </c>
    </row>
    <row r="182" spans="1:2" x14ac:dyDescent="0.35">
      <c r="A182" s="14" t="s">
        <v>66</v>
      </c>
      <c r="B182" t="s">
        <v>1178</v>
      </c>
    </row>
    <row r="183" spans="1:2" x14ac:dyDescent="0.35">
      <c r="A183" s="14" t="s">
        <v>85</v>
      </c>
      <c r="B183" t="s">
        <v>1178</v>
      </c>
    </row>
    <row r="184" spans="1:2" x14ac:dyDescent="0.35">
      <c r="A184" s="14" t="s">
        <v>1080</v>
      </c>
      <c r="B184" t="s">
        <v>1175</v>
      </c>
    </row>
    <row r="185" spans="1:2" x14ac:dyDescent="0.35">
      <c r="A185" s="14" t="s">
        <v>202</v>
      </c>
      <c r="B185" t="s">
        <v>1175</v>
      </c>
    </row>
    <row r="186" spans="1:2" x14ac:dyDescent="0.35">
      <c r="A186" s="14" t="s">
        <v>99</v>
      </c>
      <c r="B186" t="s">
        <v>1175</v>
      </c>
    </row>
    <row r="187" spans="1:2" x14ac:dyDescent="0.35">
      <c r="A187" s="14" t="s">
        <v>1082</v>
      </c>
      <c r="B187" t="s">
        <v>1179</v>
      </c>
    </row>
    <row r="188" spans="1:2" x14ac:dyDescent="0.35">
      <c r="A188" s="14" t="s">
        <v>124</v>
      </c>
      <c r="B188" t="s">
        <v>1177</v>
      </c>
    </row>
    <row r="189" spans="1:2" x14ac:dyDescent="0.35">
      <c r="A189" s="14" t="s">
        <v>239</v>
      </c>
      <c r="B189" t="s">
        <v>1177</v>
      </c>
    </row>
    <row r="190" spans="1:2" x14ac:dyDescent="0.35">
      <c r="A190" s="13" t="s">
        <v>1203</v>
      </c>
      <c r="B190" t="s">
        <v>1177</v>
      </c>
    </row>
    <row r="191" spans="1:2" x14ac:dyDescent="0.35">
      <c r="A191" s="14" t="s">
        <v>1010</v>
      </c>
      <c r="B191" t="s">
        <v>1204</v>
      </c>
    </row>
    <row r="192" spans="1:2" x14ac:dyDescent="0.35">
      <c r="A192" s="13" t="s">
        <v>1205</v>
      </c>
      <c r="B192" t="s">
        <v>1177</v>
      </c>
    </row>
    <row r="193" spans="1:2" x14ac:dyDescent="0.35">
      <c r="A193" s="14" t="s">
        <v>154</v>
      </c>
      <c r="B193" t="s">
        <v>1177</v>
      </c>
    </row>
    <row r="194" spans="1:2" x14ac:dyDescent="0.35">
      <c r="A194" s="14" t="s">
        <v>336</v>
      </c>
      <c r="B194" t="s">
        <v>1177</v>
      </c>
    </row>
    <row r="195" spans="1:2" x14ac:dyDescent="0.35">
      <c r="A195" s="14" t="s">
        <v>241</v>
      </c>
      <c r="B195" t="s">
        <v>1191</v>
      </c>
    </row>
    <row r="196" spans="1:2" x14ac:dyDescent="0.35">
      <c r="A196" s="14" t="s">
        <v>1085</v>
      </c>
      <c r="B196" t="s">
        <v>1176</v>
      </c>
    </row>
    <row r="197" spans="1:2" x14ac:dyDescent="0.35">
      <c r="A197" s="14" t="s">
        <v>1012</v>
      </c>
      <c r="B197" t="s">
        <v>1204</v>
      </c>
    </row>
    <row r="198" spans="1:2" x14ac:dyDescent="0.35">
      <c r="A198" s="14" t="s">
        <v>191</v>
      </c>
      <c r="B198" t="s">
        <v>1175</v>
      </c>
    </row>
    <row r="199" spans="1:2" x14ac:dyDescent="0.35">
      <c r="A199" s="14" t="s">
        <v>328</v>
      </c>
      <c r="B199" t="s">
        <v>1175</v>
      </c>
    </row>
    <row r="200" spans="1:2" x14ac:dyDescent="0.35">
      <c r="A200" s="14" t="s">
        <v>307</v>
      </c>
      <c r="B200" t="s">
        <v>1175</v>
      </c>
    </row>
    <row r="201" spans="1:2" x14ac:dyDescent="0.35">
      <c r="A201" s="13" t="s">
        <v>288</v>
      </c>
      <c r="B201" t="s">
        <v>1178</v>
      </c>
    </row>
    <row r="202" spans="1:2" x14ac:dyDescent="0.35">
      <c r="A202" s="14" t="s">
        <v>233</v>
      </c>
      <c r="B202" t="s">
        <v>1176</v>
      </c>
    </row>
    <row r="203" spans="1:2" x14ac:dyDescent="0.35">
      <c r="A203" s="14" t="s">
        <v>4</v>
      </c>
      <c r="B203" t="s">
        <v>1178</v>
      </c>
    </row>
    <row r="204" spans="1:2" x14ac:dyDescent="0.35">
      <c r="A204" s="14" t="s">
        <v>1003</v>
      </c>
      <c r="B204" t="s">
        <v>1178</v>
      </c>
    </row>
    <row r="205" spans="1:2" x14ac:dyDescent="0.35">
      <c r="A205" s="14" t="s">
        <v>232</v>
      </c>
      <c r="B205" t="s">
        <v>1175</v>
      </c>
    </row>
    <row r="206" spans="1:2" x14ac:dyDescent="0.35">
      <c r="A206" s="14" t="s">
        <v>71</v>
      </c>
      <c r="B206" t="s">
        <v>1175</v>
      </c>
    </row>
    <row r="207" spans="1:2" x14ac:dyDescent="0.35">
      <c r="A207" s="14" t="s">
        <v>1005</v>
      </c>
      <c r="B207" t="s">
        <v>1206</v>
      </c>
    </row>
    <row r="208" spans="1:2" x14ac:dyDescent="0.35">
      <c r="A208" s="14" t="s">
        <v>1006</v>
      </c>
      <c r="B208" t="s">
        <v>1206</v>
      </c>
    </row>
    <row r="209" spans="1:2" x14ac:dyDescent="0.35">
      <c r="A209" s="14" t="s">
        <v>1007</v>
      </c>
      <c r="B209" t="s">
        <v>1206</v>
      </c>
    </row>
    <row r="210" spans="1:2" x14ac:dyDescent="0.35">
      <c r="A210" s="14" t="s">
        <v>235</v>
      </c>
      <c r="B210" t="s">
        <v>1175</v>
      </c>
    </row>
    <row r="211" spans="1:2" x14ac:dyDescent="0.35">
      <c r="A211" s="14" t="s">
        <v>189</v>
      </c>
      <c r="B211" t="s">
        <v>1175</v>
      </c>
    </row>
    <row r="212" spans="1:2" x14ac:dyDescent="0.35">
      <c r="A212" s="14" t="s">
        <v>238</v>
      </c>
      <c r="B212" t="s">
        <v>1191</v>
      </c>
    </row>
    <row r="213" spans="1:2" x14ac:dyDescent="0.35">
      <c r="A213" s="14" t="s">
        <v>144</v>
      </c>
      <c r="B213" t="s">
        <v>1191</v>
      </c>
    </row>
    <row r="214" spans="1:2" x14ac:dyDescent="0.35">
      <c r="A214" s="14" t="s">
        <v>215</v>
      </c>
      <c r="B214" t="s">
        <v>1191</v>
      </c>
    </row>
    <row r="215" spans="1:2" x14ac:dyDescent="0.35">
      <c r="A215" s="14" t="s">
        <v>97</v>
      </c>
      <c r="B215" t="s">
        <v>1175</v>
      </c>
    </row>
    <row r="216" spans="1:2" x14ac:dyDescent="0.35">
      <c r="A216" s="14" t="s">
        <v>70</v>
      </c>
      <c r="B216" t="s">
        <v>1175</v>
      </c>
    </row>
    <row r="217" spans="1:2" x14ac:dyDescent="0.35">
      <c r="A217" s="14" t="s">
        <v>268</v>
      </c>
      <c r="B217" t="s">
        <v>1204</v>
      </c>
    </row>
    <row r="218" spans="1:2" x14ac:dyDescent="0.35">
      <c r="A218" s="14" t="s">
        <v>150</v>
      </c>
      <c r="B218" t="s">
        <v>1178</v>
      </c>
    </row>
    <row r="219" spans="1:2" x14ac:dyDescent="0.35">
      <c r="A219" s="14" t="s">
        <v>1087</v>
      </c>
      <c r="B219" t="s">
        <v>1178</v>
      </c>
    </row>
    <row r="220" spans="1:2" x14ac:dyDescent="0.35">
      <c r="A220" s="14" t="s">
        <v>330</v>
      </c>
      <c r="B220" t="s">
        <v>1175</v>
      </c>
    </row>
    <row r="221" spans="1:2" x14ac:dyDescent="0.35">
      <c r="A221" s="14" t="s">
        <v>103</v>
      </c>
      <c r="B221" t="s">
        <v>1177</v>
      </c>
    </row>
    <row r="222" spans="1:2" x14ac:dyDescent="0.35">
      <c r="A222" s="14" t="s">
        <v>222</v>
      </c>
      <c r="B222" t="s">
        <v>1175</v>
      </c>
    </row>
    <row r="223" spans="1:2" x14ac:dyDescent="0.35">
      <c r="A223" s="14" t="s">
        <v>248</v>
      </c>
      <c r="B223" t="s">
        <v>1175</v>
      </c>
    </row>
    <row r="224" spans="1:2" x14ac:dyDescent="0.35">
      <c r="A224" s="14" t="s">
        <v>51</v>
      </c>
      <c r="B224" t="s">
        <v>1175</v>
      </c>
    </row>
    <row r="225" spans="1:2" x14ac:dyDescent="0.35">
      <c r="A225" s="14" t="s">
        <v>335</v>
      </c>
      <c r="B225" t="s">
        <v>1175</v>
      </c>
    </row>
    <row r="226" spans="1:2" x14ac:dyDescent="0.35">
      <c r="A226" s="14" t="s">
        <v>274</v>
      </c>
      <c r="B226" t="s">
        <v>1175</v>
      </c>
    </row>
    <row r="227" spans="1:2" x14ac:dyDescent="0.35">
      <c r="A227" s="14" t="s">
        <v>98</v>
      </c>
      <c r="B227" t="s">
        <v>1175</v>
      </c>
    </row>
    <row r="228" spans="1:2" x14ac:dyDescent="0.35">
      <c r="A228" s="14" t="s">
        <v>166</v>
      </c>
      <c r="B228" t="s">
        <v>1175</v>
      </c>
    </row>
    <row r="229" spans="1:2" x14ac:dyDescent="0.35">
      <c r="A229" s="14" t="s">
        <v>258</v>
      </c>
      <c r="B229" t="s">
        <v>1175</v>
      </c>
    </row>
    <row r="230" spans="1:2" x14ac:dyDescent="0.35">
      <c r="A230" s="14" t="s">
        <v>240</v>
      </c>
      <c r="B230" t="s">
        <v>1175</v>
      </c>
    </row>
    <row r="231" spans="1:2" x14ac:dyDescent="0.35">
      <c r="A231" s="14" t="s">
        <v>351</v>
      </c>
      <c r="B231" t="s">
        <v>1190</v>
      </c>
    </row>
    <row r="232" spans="1:2" x14ac:dyDescent="0.35">
      <c r="A232" s="14" t="s">
        <v>13</v>
      </c>
      <c r="B232" t="s">
        <v>1190</v>
      </c>
    </row>
    <row r="233" spans="1:2" x14ac:dyDescent="0.35">
      <c r="A233" s="14" t="s">
        <v>255</v>
      </c>
      <c r="B233" t="s">
        <v>1190</v>
      </c>
    </row>
    <row r="234" spans="1:2" x14ac:dyDescent="0.35">
      <c r="A234" s="14" t="s">
        <v>125</v>
      </c>
      <c r="B234" t="s">
        <v>1190</v>
      </c>
    </row>
    <row r="235" spans="1:2" x14ac:dyDescent="0.35">
      <c r="A235" s="14" t="s">
        <v>96</v>
      </c>
      <c r="B235" t="s">
        <v>1190</v>
      </c>
    </row>
    <row r="236" spans="1:2" x14ac:dyDescent="0.35">
      <c r="A236" s="14" t="s">
        <v>160</v>
      </c>
      <c r="B236" t="s">
        <v>1190</v>
      </c>
    </row>
    <row r="237" spans="1:2" x14ac:dyDescent="0.35">
      <c r="A237" s="14" t="s">
        <v>197</v>
      </c>
      <c r="B237" t="s">
        <v>1190</v>
      </c>
    </row>
    <row r="238" spans="1:2" x14ac:dyDescent="0.35">
      <c r="A238" s="14" t="s">
        <v>12</v>
      </c>
      <c r="B238" t="s">
        <v>1190</v>
      </c>
    </row>
    <row r="239" spans="1:2" x14ac:dyDescent="0.35">
      <c r="A239" s="14" t="s">
        <v>16</v>
      </c>
      <c r="B239" t="s">
        <v>1190</v>
      </c>
    </row>
    <row r="240" spans="1:2" x14ac:dyDescent="0.35">
      <c r="A240" s="14" t="s">
        <v>181</v>
      </c>
      <c r="B240" t="s">
        <v>1190</v>
      </c>
    </row>
    <row r="241" spans="1:2" x14ac:dyDescent="0.35">
      <c r="A241" s="14" t="s">
        <v>314</v>
      </c>
      <c r="B241" t="s">
        <v>1190</v>
      </c>
    </row>
    <row r="242" spans="1:2" x14ac:dyDescent="0.35">
      <c r="A242" s="14" t="s">
        <v>105</v>
      </c>
      <c r="B242" t="s">
        <v>1190</v>
      </c>
    </row>
    <row r="243" spans="1:2" x14ac:dyDescent="0.35">
      <c r="A243" s="14" t="s">
        <v>24</v>
      </c>
      <c r="B243" t="s">
        <v>1175</v>
      </c>
    </row>
    <row r="244" spans="1:2" x14ac:dyDescent="0.35">
      <c r="A244" s="14" t="s">
        <v>52</v>
      </c>
      <c r="B244" t="s">
        <v>1175</v>
      </c>
    </row>
    <row r="245" spans="1:2" x14ac:dyDescent="0.35">
      <c r="A245" s="14" t="s">
        <v>234</v>
      </c>
      <c r="B245" t="s">
        <v>1175</v>
      </c>
    </row>
    <row r="246" spans="1:2" x14ac:dyDescent="0.35">
      <c r="A246" s="14" t="s">
        <v>228</v>
      </c>
      <c r="B246" t="s">
        <v>1175</v>
      </c>
    </row>
    <row r="247" spans="1:2" x14ac:dyDescent="0.35">
      <c r="A247" s="14" t="s">
        <v>75</v>
      </c>
      <c r="B247" t="s">
        <v>1175</v>
      </c>
    </row>
    <row r="248" spans="1:2" x14ac:dyDescent="0.35">
      <c r="A248" s="14" t="s">
        <v>171</v>
      </c>
      <c r="B248" t="s">
        <v>1175</v>
      </c>
    </row>
    <row r="249" spans="1:2" x14ac:dyDescent="0.35">
      <c r="A249" s="14" t="s">
        <v>140</v>
      </c>
      <c r="B249" t="s">
        <v>1175</v>
      </c>
    </row>
    <row r="250" spans="1:2" x14ac:dyDescent="0.35">
      <c r="A250" s="14" t="s">
        <v>247</v>
      </c>
      <c r="B250" t="s">
        <v>1178</v>
      </c>
    </row>
    <row r="251" spans="1:2" x14ac:dyDescent="0.35">
      <c r="A251" s="14" t="s">
        <v>304</v>
      </c>
      <c r="B251" t="s">
        <v>1176</v>
      </c>
    </row>
    <row r="252" spans="1:2" x14ac:dyDescent="0.35">
      <c r="A252" s="14" t="s">
        <v>1089</v>
      </c>
      <c r="B252" t="s">
        <v>1176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CBC3-922A-4474-9C7F-4DF16CAA6178}">
  <dimension ref="A1:E11"/>
  <sheetViews>
    <sheetView workbookViewId="0">
      <selection activeCell="A20" sqref="A20"/>
    </sheetView>
  </sheetViews>
  <sheetFormatPr defaultRowHeight="14.5" x14ac:dyDescent="0.35"/>
  <cols>
    <col min="1" max="1" width="43.26953125" customWidth="1"/>
    <col min="3" max="3" width="58.453125" customWidth="1"/>
    <col min="5" max="5" width="152" customWidth="1"/>
  </cols>
  <sheetData>
    <row r="1" spans="1:5" x14ac:dyDescent="0.35">
      <c r="A1" t="s">
        <v>313</v>
      </c>
      <c r="C1" t="str">
        <f>_xlfn.TEXTJOIN("",FALSE,"""",TRIM(A1),""",")</f>
        <v>"TAX RETURN VERIFICATION",</v>
      </c>
      <c r="E1" t="str">
        <f>_xlfn.TEXTJOIN("",FALSE,"update dbo.MCLProductCodes set ProductType='Tax' where ProductCode='",TRIM(A1),"'")</f>
        <v>update dbo.MCLProductCodes set ProductType='Tax' where ProductCode='TAX RETURN VERIFICATION'</v>
      </c>
    </row>
    <row r="2" spans="1:5" x14ac:dyDescent="0.35">
      <c r="A2" t="s">
        <v>128</v>
      </c>
      <c r="C2" t="str">
        <f t="shared" ref="C2:C11" si="0">_xlfn.TEXTJOIN("",FALSE,"""",TRIM(A2),""",")</f>
        <v>"TAX RETURN VERIFICATION - 2 YEAR",</v>
      </c>
      <c r="E2" t="str">
        <f t="shared" ref="E2:E11" si="1">_xlfn.TEXTJOIN("",FALSE,"update dbo.MCLProductCodes set ProductType='Tax' where ProductCode='",TRIM(A2),"'")</f>
        <v>update dbo.MCLProductCodes set ProductType='Tax' where ProductCode='TAX RETURN VERIFICATION - 2 YEAR'</v>
      </c>
    </row>
    <row r="3" spans="1:5" x14ac:dyDescent="0.35">
      <c r="A3" s="14" t="s">
        <v>268</v>
      </c>
      <c r="C3" t="str">
        <f t="shared" si="0"/>
        <v>"Tax Transcript",</v>
      </c>
      <c r="E3" t="str">
        <f t="shared" si="1"/>
        <v>update dbo.MCLProductCodes set ProductType='Tax' where ProductCode='Tax Transcript'</v>
      </c>
    </row>
    <row r="4" spans="1:5" x14ac:dyDescent="0.35">
      <c r="A4" t="s">
        <v>206</v>
      </c>
      <c r="C4" t="str">
        <f t="shared" si="0"/>
        <v>"Tax Transcript 2 YRS",</v>
      </c>
      <c r="E4" t="str">
        <f t="shared" si="1"/>
        <v>update dbo.MCLProductCodes set ProductType='Tax' where ProductCode='Tax Transcript 2 YRS'</v>
      </c>
    </row>
    <row r="5" spans="1:5" x14ac:dyDescent="0.35">
      <c r="A5" t="s">
        <v>194</v>
      </c>
      <c r="C5" t="str">
        <f t="shared" si="0"/>
        <v>"Tax Transcript Interface Fee",</v>
      </c>
      <c r="E5" t="str">
        <f t="shared" si="1"/>
        <v>update dbo.MCLProductCodes set ProductType='Tax' where ProductCode='Tax Transcript Interface Fee'</v>
      </c>
    </row>
    <row r="6" spans="1:5" x14ac:dyDescent="0.35">
      <c r="A6" t="s">
        <v>318</v>
      </c>
      <c r="C6" t="str">
        <f t="shared" si="0"/>
        <v>"Tax Transcript ORDER (1Y)",</v>
      </c>
      <c r="E6" t="str">
        <f t="shared" si="1"/>
        <v>update dbo.MCLProductCodes set ProductType='Tax' where ProductCode='Tax Transcript ORDER (1Y)'</v>
      </c>
    </row>
    <row r="7" spans="1:5" x14ac:dyDescent="0.35">
      <c r="A7" t="s">
        <v>172</v>
      </c>
      <c r="C7" t="str">
        <f t="shared" si="0"/>
        <v>"Tax Transcript ORDER (2Y)",</v>
      </c>
      <c r="E7" t="str">
        <f t="shared" si="1"/>
        <v>update dbo.MCLProductCodes set ProductType='Tax' where ProductCode='Tax Transcript ORDER (2Y)'</v>
      </c>
    </row>
    <row r="8" spans="1:5" x14ac:dyDescent="0.35">
      <c r="A8" t="s">
        <v>55</v>
      </c>
      <c r="C8" t="str">
        <f t="shared" si="0"/>
        <v>"Tax Transcript ORDER (3Y)",</v>
      </c>
      <c r="E8" t="str">
        <f t="shared" si="1"/>
        <v>update dbo.MCLProductCodes set ProductType='Tax' where ProductCode='Tax Transcript ORDER (3Y)'</v>
      </c>
    </row>
    <row r="9" spans="1:5" x14ac:dyDescent="0.35">
      <c r="A9" s="14" t="s">
        <v>1010</v>
      </c>
      <c r="C9" t="str">
        <f t="shared" si="0"/>
        <v>"POSTBACK:HALCYONICE",</v>
      </c>
      <c r="E9" t="str">
        <f t="shared" si="1"/>
        <v>update dbo.MCLProductCodes set ProductType='Tax' where ProductCode='POSTBACK:HALCYONICE'</v>
      </c>
    </row>
    <row r="10" spans="1:5" x14ac:dyDescent="0.35">
      <c r="A10" t="s">
        <v>1011</v>
      </c>
      <c r="C10" t="str">
        <f t="shared" si="0"/>
        <v>"POSTBACK:HALCYONTRANSCRIPTS",</v>
      </c>
      <c r="E10" t="str">
        <f t="shared" si="1"/>
        <v>update dbo.MCLProductCodes set ProductType='Tax' where ProductCode='POSTBACK:HALCYONTRANSCRIPTS'</v>
      </c>
    </row>
    <row r="11" spans="1:5" x14ac:dyDescent="0.35">
      <c r="A11" t="s">
        <v>1012</v>
      </c>
      <c r="C11" t="str">
        <f t="shared" si="0"/>
        <v>"POSTBACK:PREAUTHHALCYONICE",</v>
      </c>
      <c r="E11" t="str">
        <f t="shared" si="1"/>
        <v>update dbo.MCLProductCodes set ProductType='Tax' where ProductCode='POSTBACK:PREAUTHHALCYONICE'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9B3C-933F-4FE9-B650-7700F1853ACC}">
  <dimension ref="A1:E2"/>
  <sheetViews>
    <sheetView workbookViewId="0">
      <selection activeCell="A18" sqref="A18"/>
    </sheetView>
  </sheetViews>
  <sheetFormatPr defaultRowHeight="14.5" x14ac:dyDescent="0.35"/>
  <cols>
    <col min="1" max="1" width="49" customWidth="1"/>
    <col min="3" max="3" width="66.81640625" customWidth="1"/>
    <col min="5" max="5" width="143.26953125" customWidth="1"/>
  </cols>
  <sheetData>
    <row r="1" spans="1:5" x14ac:dyDescent="0.35">
      <c r="A1" t="s">
        <v>1013</v>
      </c>
      <c r="C1" t="str">
        <f>_xlfn.TEXTJOIN("",FALSE,"""",TRIM(A1),""",")</f>
        <v>"ARMCOACES-ORDER",</v>
      </c>
      <c r="E1" t="str">
        <f>_xlfn.TEXTJOIN("",FALSE,"update dbo.MCLProductCodes set ProductType='QC' where ProductCode='",TRIM(A1),"'")</f>
        <v>update dbo.MCLProductCodes set ProductType='QC' where ProductCode='ARMCOACES-ORDER'</v>
      </c>
    </row>
    <row r="2" spans="1:5" x14ac:dyDescent="0.35">
      <c r="A2" t="s">
        <v>1014</v>
      </c>
      <c r="C2" t="str">
        <f>_xlfn.TEXTJOIN("",FALSE,"""",TRIM(A2),""",")</f>
        <v>"ARMCOACES02Tax Transcript Interface Fee",</v>
      </c>
      <c r="E2" t="str">
        <f>_xlfn.TEXTJOIN("",FALSE,"update dbo.MCLProductCodes set ProductType='QC' where ProductCode='",TRIM(A2),"'")</f>
        <v>update dbo.MCLProductCodes set ProductType='QC' where ProductCode='ARMCOACES02Tax Transcript Interface Fee'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0964-5BAD-44D3-B333-105822F758E9}">
  <dimension ref="A1:F7"/>
  <sheetViews>
    <sheetView workbookViewId="0">
      <selection activeCell="B16" sqref="B16"/>
    </sheetView>
  </sheetViews>
  <sheetFormatPr defaultRowHeight="14.5" x14ac:dyDescent="0.35"/>
  <cols>
    <col min="1" max="1" width="39.1796875" customWidth="1"/>
    <col min="2" max="2" width="80.54296875" customWidth="1"/>
    <col min="4" max="4" width="65.26953125" customWidth="1"/>
    <col min="6" max="6" width="121.1796875" customWidth="1"/>
  </cols>
  <sheetData>
    <row r="1" spans="1:6" x14ac:dyDescent="0.35">
      <c r="A1" s="14" t="s">
        <v>238</v>
      </c>
      <c r="D1" t="str">
        <f>_xlfn.TEXTJOIN("",FALSE,"""",TRIM(A1),""",")</f>
        <v>"SOCIAL_SEARCH",</v>
      </c>
      <c r="F1" t="str">
        <f>_xlfn.TEXTJOIN("",FALSE,"update dbo.MCLProductCodes set ProductType='SSN' where ProductCode='",TRIM(A1),"'")</f>
        <v>update dbo.MCLProductCodes set ProductType='SSN' where ProductCode='SOCIAL_SEARCH'</v>
      </c>
    </row>
    <row r="2" spans="1:6" x14ac:dyDescent="0.35">
      <c r="A2" s="14" t="s">
        <v>386</v>
      </c>
      <c r="B2" t="s">
        <v>387</v>
      </c>
      <c r="D2" t="str">
        <f t="shared" ref="D2:D7" si="0">_xlfn.TEXTJOIN("",FALSE,"""",TRIM(A2),""",")</f>
        <v>"SSA89",</v>
      </c>
      <c r="F2" t="str">
        <f t="shared" ref="F2:F7" si="1">_xlfn.TEXTJOIN("",FALSE,"update dbo.MCLProductCodes set ProductType='SSN' where ProductCode='",TRIM(A2),"'")</f>
        <v>update dbo.MCLProductCodes set ProductType='SSN' where ProductCode='SSA89'</v>
      </c>
    </row>
    <row r="3" spans="1:6" x14ac:dyDescent="0.35">
      <c r="A3" s="13" t="s">
        <v>180</v>
      </c>
      <c r="D3" t="str">
        <f t="shared" si="0"/>
        <v>"SSA-89 VERIFICATION",</v>
      </c>
      <c r="F3" t="str">
        <f t="shared" si="1"/>
        <v>update dbo.MCLProductCodes set ProductType='SSN' where ProductCode='SSA-89 VERIFICATION'</v>
      </c>
    </row>
    <row r="4" spans="1:6" x14ac:dyDescent="0.35">
      <c r="A4" s="14" t="s">
        <v>215</v>
      </c>
      <c r="D4" t="str">
        <f t="shared" si="0"/>
        <v>"SSW PAYMENT",</v>
      </c>
      <c r="F4" t="str">
        <f t="shared" si="1"/>
        <v>update dbo.MCLProductCodes set ProductType='SSN' where ProductCode='SSW PAYMENT'</v>
      </c>
    </row>
    <row r="5" spans="1:6" x14ac:dyDescent="0.35">
      <c r="A5" s="14" t="s">
        <v>22</v>
      </c>
      <c r="D5" t="str">
        <f t="shared" si="0"/>
        <v>"ESSA89",</v>
      </c>
      <c r="F5" t="str">
        <f t="shared" si="1"/>
        <v>update dbo.MCLProductCodes set ProductType='SSN' where ProductCode='ESSA89'</v>
      </c>
    </row>
    <row r="6" spans="1:6" x14ac:dyDescent="0.35">
      <c r="A6" s="14" t="s">
        <v>241</v>
      </c>
      <c r="D6" t="str">
        <f t="shared" si="0"/>
        <v>"POSTBACK:PERSON-SSN-89-ESIGN-F150D",</v>
      </c>
      <c r="F6" t="str">
        <f t="shared" si="1"/>
        <v>update dbo.MCLProductCodes set ProductType='SSN' where ProductCode='POSTBACK:PERSON-SSN-89-ESIGN-F150D'</v>
      </c>
    </row>
    <row r="7" spans="1:6" x14ac:dyDescent="0.35">
      <c r="A7" s="13" t="s">
        <v>104</v>
      </c>
      <c r="B7" t="s">
        <v>385</v>
      </c>
      <c r="D7" t="str">
        <f t="shared" si="0"/>
        <v>"POSTBACK:PERSON-SSNVER-89-F117D",</v>
      </c>
      <c r="F7" t="str">
        <f t="shared" si="1"/>
        <v>update dbo.MCLProductCodes set ProductType='SSN' where ProductCode='POSTBACK:PERSON-SSNVER-89-F117D'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57AD-9D4E-4B6C-B386-4FE1E8D99432}">
  <dimension ref="A1:E19"/>
  <sheetViews>
    <sheetView workbookViewId="0"/>
  </sheetViews>
  <sheetFormatPr defaultRowHeight="14.5" x14ac:dyDescent="0.35"/>
  <cols>
    <col min="1" max="1" width="49.453125" customWidth="1"/>
    <col min="3" max="3" width="71.81640625" customWidth="1"/>
    <col min="5" max="5" width="159.81640625" customWidth="1"/>
  </cols>
  <sheetData>
    <row r="1" spans="1:5" x14ac:dyDescent="0.35">
      <c r="A1" s="14" t="s">
        <v>1001</v>
      </c>
      <c r="C1" t="str">
        <f>_xlfn.TEXTJOIN("",FALSE,"""",TRIM(A1),""",")</f>
        <v>"ENCOMPASS UDN FEE",</v>
      </c>
      <c r="E1" t="str">
        <f>_xlfn.TEXTJOIN("",FALSE,"update dbo.MCLProductCodes set ProductType='UDN' where ProductCode='",TRIM(A1),"'")</f>
        <v>update dbo.MCLProductCodes set ProductType='UDN' where ProductCode='ENCOMPASS UDN FEE'</v>
      </c>
    </row>
    <row r="2" spans="1:5" x14ac:dyDescent="0.35">
      <c r="A2" s="13" t="s">
        <v>257</v>
      </c>
      <c r="C2" t="str">
        <f>_xlfn.TEXTJOIN("",FALSE,"""",TRIM(A2),""",")</f>
        <v>"UDN-ADD1BI",</v>
      </c>
      <c r="E2" t="str">
        <f t="shared" ref="E2:E19" si="0">_xlfn.TEXTJOIN("",FALSE,"update dbo.MCLProductCodes set ProductType='UDN' where ProductCode='",TRIM(A2),"'")</f>
        <v>update dbo.MCLProductCodes set ProductType='UDN' where ProductCode='UDN-ADD1BI'</v>
      </c>
    </row>
    <row r="3" spans="1:5" x14ac:dyDescent="0.35">
      <c r="A3" s="13" t="s">
        <v>352</v>
      </c>
      <c r="C3" t="str">
        <f t="shared" ref="C3:C19" si="1">_xlfn.TEXTJOIN("",FALSE,"""",TRIM(A3),""",")</f>
        <v>"UDN-ADD1BJ",</v>
      </c>
      <c r="E3" t="str">
        <f t="shared" si="0"/>
        <v>update dbo.MCLProductCodes set ProductType='UDN' where ProductCode='UDN-ADD1BJ'</v>
      </c>
    </row>
    <row r="4" spans="1:5" x14ac:dyDescent="0.35">
      <c r="A4" s="13" t="s">
        <v>246</v>
      </c>
      <c r="C4" t="str">
        <f t="shared" si="1"/>
        <v>"UDN-ADD2BI",</v>
      </c>
      <c r="E4" t="str">
        <f t="shared" si="0"/>
        <v>update dbo.MCLProductCodes set ProductType='UDN' where ProductCode='UDN-ADD2BI'</v>
      </c>
    </row>
    <row r="5" spans="1:5" x14ac:dyDescent="0.35">
      <c r="A5" s="14" t="s">
        <v>351</v>
      </c>
      <c r="C5" t="str">
        <f t="shared" si="1"/>
        <v>"UDN-ADD2BJ",</v>
      </c>
      <c r="E5" t="str">
        <f t="shared" si="0"/>
        <v>update dbo.MCLProductCodes set ProductType='UDN' where ProductCode='UDN-ADD2BJ'</v>
      </c>
    </row>
    <row r="6" spans="1:5" x14ac:dyDescent="0.35">
      <c r="A6" s="13" t="s">
        <v>123</v>
      </c>
      <c r="C6" t="str">
        <f t="shared" si="1"/>
        <v>"UDN-ADDCOB",</v>
      </c>
      <c r="E6" t="str">
        <f t="shared" si="0"/>
        <v>update dbo.MCLProductCodes set ProductType='UDN' where ProductCode='UDN-ADDCOB'</v>
      </c>
    </row>
    <row r="7" spans="1:5" x14ac:dyDescent="0.35">
      <c r="A7" s="14" t="s">
        <v>13</v>
      </c>
      <c r="C7" t="str">
        <f t="shared" si="1"/>
        <v>"UDN-EQF",</v>
      </c>
      <c r="E7" t="str">
        <f t="shared" si="0"/>
        <v>update dbo.MCLProductCodes set ProductType='UDN' where ProductCode='UDN-EQF'</v>
      </c>
    </row>
    <row r="8" spans="1:5" x14ac:dyDescent="0.35">
      <c r="A8" s="14" t="s">
        <v>255</v>
      </c>
      <c r="C8" t="str">
        <f t="shared" si="1"/>
        <v>"UDN-EQF/JNT",</v>
      </c>
      <c r="E8" t="str">
        <f t="shared" si="0"/>
        <v>update dbo.MCLProductCodes set ProductType='UDN' where ProductCode='UDN-EQF/JNT'</v>
      </c>
    </row>
    <row r="9" spans="1:5" x14ac:dyDescent="0.35">
      <c r="A9" s="13" t="s">
        <v>173</v>
      </c>
      <c r="C9" t="str">
        <f t="shared" si="1"/>
        <v>"UDN-EQF/TUC",</v>
      </c>
      <c r="E9" t="str">
        <f t="shared" si="0"/>
        <v>update dbo.MCLProductCodes set ProductType='UDN' where ProductCode='UDN-EQF/TUC'</v>
      </c>
    </row>
    <row r="10" spans="1:5" x14ac:dyDescent="0.35">
      <c r="A10" s="13" t="s">
        <v>200</v>
      </c>
      <c r="C10" t="str">
        <f t="shared" si="1"/>
        <v>"UDN-EQF/TUC/JNT",</v>
      </c>
      <c r="E10" t="str">
        <f t="shared" si="0"/>
        <v>update dbo.MCLProductCodes set ProductType='UDN' where ProductCode='UDN-EQF/TUC/JNT'</v>
      </c>
    </row>
    <row r="11" spans="1:5" x14ac:dyDescent="0.35">
      <c r="A11" s="14" t="s">
        <v>125</v>
      </c>
      <c r="C11" t="str">
        <f t="shared" si="1"/>
        <v>"UDN-EXP",</v>
      </c>
      <c r="E11" t="str">
        <f t="shared" si="0"/>
        <v>update dbo.MCLProductCodes set ProductType='UDN' where ProductCode='UDN-EXP'</v>
      </c>
    </row>
    <row r="12" spans="1:5" x14ac:dyDescent="0.35">
      <c r="A12" s="14" t="s">
        <v>96</v>
      </c>
      <c r="C12" t="str">
        <f t="shared" si="1"/>
        <v>"UDN-EXP/EQF",</v>
      </c>
      <c r="E12" t="str">
        <f t="shared" si="0"/>
        <v>update dbo.MCLProductCodes set ProductType='UDN' where ProductCode='UDN-EXP/EQF'</v>
      </c>
    </row>
    <row r="13" spans="1:5" x14ac:dyDescent="0.35">
      <c r="A13" s="14" t="s">
        <v>160</v>
      </c>
      <c r="C13" t="str">
        <f t="shared" si="1"/>
        <v>"UDN-EXP/EQF/JNT",</v>
      </c>
      <c r="E13" t="str">
        <f t="shared" si="0"/>
        <v>update dbo.MCLProductCodes set ProductType='UDN' where ProductCode='UDN-EXP/EQF/JNT'</v>
      </c>
    </row>
    <row r="14" spans="1:5" x14ac:dyDescent="0.35">
      <c r="A14" s="14" t="s">
        <v>197</v>
      </c>
      <c r="C14" t="str">
        <f t="shared" si="1"/>
        <v>"UDN-EXP/EQF/TUC",</v>
      </c>
      <c r="E14" t="str">
        <f t="shared" si="0"/>
        <v>update dbo.MCLProductCodes set ProductType='UDN' where ProductCode='UDN-EXP/EQF/TUC'</v>
      </c>
    </row>
    <row r="15" spans="1:5" x14ac:dyDescent="0.35">
      <c r="A15" s="14" t="s">
        <v>12</v>
      </c>
      <c r="C15" t="str">
        <f t="shared" si="1"/>
        <v>"UDN-EXP/EQF/TUC/JNT",</v>
      </c>
      <c r="E15" t="str">
        <f t="shared" si="0"/>
        <v>update dbo.MCLProductCodes set ProductType='UDN' where ProductCode='UDN-EXP/EQF/TUC/JNT'</v>
      </c>
    </row>
    <row r="16" spans="1:5" x14ac:dyDescent="0.35">
      <c r="A16" s="14" t="s">
        <v>16</v>
      </c>
      <c r="C16" t="str">
        <f t="shared" si="1"/>
        <v>"UDN-EXP/JNT",</v>
      </c>
      <c r="E16" t="str">
        <f t="shared" si="0"/>
        <v>update dbo.MCLProductCodes set ProductType='UDN' where ProductCode='UDN-EXP/JNT'</v>
      </c>
    </row>
    <row r="17" spans="1:5" x14ac:dyDescent="0.35">
      <c r="A17" s="14" t="s">
        <v>181</v>
      </c>
      <c r="C17" t="str">
        <f t="shared" si="1"/>
        <v>"UDN-EXP/TUC",</v>
      </c>
      <c r="E17" t="str">
        <f t="shared" si="0"/>
        <v>update dbo.MCLProductCodes set ProductType='UDN' where ProductCode='UDN-EXP/TUC'</v>
      </c>
    </row>
    <row r="18" spans="1:5" x14ac:dyDescent="0.35">
      <c r="A18" s="14" t="s">
        <v>314</v>
      </c>
      <c r="C18" t="str">
        <f t="shared" si="1"/>
        <v>"UDN-TUC",</v>
      </c>
      <c r="E18" t="str">
        <f t="shared" si="0"/>
        <v>update dbo.MCLProductCodes set ProductType='UDN' where ProductCode='UDN-TUC'</v>
      </c>
    </row>
    <row r="19" spans="1:5" x14ac:dyDescent="0.35">
      <c r="A19" s="14" t="s">
        <v>105</v>
      </c>
      <c r="C19" t="str">
        <f t="shared" si="1"/>
        <v>"UDN-TUC/JNT",</v>
      </c>
      <c r="E19" t="str">
        <f t="shared" si="0"/>
        <v>update dbo.MCLProductCodes set ProductType='UDN' where ProductCode='UDN-TUC/JNT'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3210-233D-4C38-9B8D-15BDD70E45C9}">
  <dimension ref="A1:F33"/>
  <sheetViews>
    <sheetView workbookViewId="0">
      <selection activeCell="A29" sqref="A29"/>
    </sheetView>
  </sheetViews>
  <sheetFormatPr defaultRowHeight="14.5" x14ac:dyDescent="0.35"/>
  <cols>
    <col min="1" max="1" width="57.26953125" customWidth="1"/>
    <col min="2" max="2" width="32.81640625" customWidth="1"/>
    <col min="4" max="4" width="63.54296875" customWidth="1"/>
    <col min="6" max="6" width="144.81640625" customWidth="1"/>
  </cols>
  <sheetData>
    <row r="1" spans="1:6" x14ac:dyDescent="0.35">
      <c r="A1" s="1" t="s">
        <v>357</v>
      </c>
      <c r="B1" s="1" t="s">
        <v>369</v>
      </c>
    </row>
    <row r="2" spans="1:6" x14ac:dyDescent="0.35">
      <c r="A2" t="s">
        <v>167</v>
      </c>
      <c r="B2" t="s">
        <v>372</v>
      </c>
      <c r="D2" t="str">
        <f>_xlfn.TEXTJOIN("",FALSE,"""",TRIM(A2),""",")</f>
        <v>"ABLNCHARGE",</v>
      </c>
      <c r="F2" t="str">
        <f>_xlfn.TEXTJOIN("",FALSE,"update dbo.MCLProductCodes set ProductType='VOIE' where ProductCode='",TRIM(A2),"'")</f>
        <v>update dbo.MCLProductCodes set ProductType='VOIE' where ProductCode='ABLNCHARGE'</v>
      </c>
    </row>
    <row r="3" spans="1:6" x14ac:dyDescent="0.35">
      <c r="A3" t="s">
        <v>294</v>
      </c>
      <c r="B3" s="9"/>
      <c r="D3" t="str">
        <f>_xlfn.TEXTJOIN("",FALSE,"""",TRIM(A3),""",")</f>
        <v>"EMPLOYER_IDV",</v>
      </c>
      <c r="F3" t="str">
        <f t="shared" ref="F3:F33" si="0">_xlfn.TEXTJOIN("",FALSE,"update dbo.MCLProductCodes set ProductType='VOIE' where ProductCode='",TRIM(A3),"'")</f>
        <v>update dbo.MCLProductCodes set ProductType='VOIE' where ProductCode='EMPLOYER_IDV'</v>
      </c>
    </row>
    <row r="4" spans="1:6" x14ac:dyDescent="0.35">
      <c r="A4" t="s">
        <v>58</v>
      </c>
      <c r="D4" t="str">
        <f t="shared" ref="D4:D33" si="1">_xlfn.TEXTJOIN("",FALSE,"""",TRIM(A4),""",")</f>
        <v>"EMPLOYERS12MONTHS",</v>
      </c>
      <c r="F4" t="str">
        <f t="shared" si="0"/>
        <v>update dbo.MCLProductCodes set ProductType='VOIE' where ProductCode='EMPLOYERS12MONTHS'</v>
      </c>
    </row>
    <row r="5" spans="1:6" x14ac:dyDescent="0.35">
      <c r="A5" t="s">
        <v>81</v>
      </c>
      <c r="D5" t="str">
        <f t="shared" si="1"/>
        <v>"EMPLOYERS24MONTHS",</v>
      </c>
      <c r="F5" t="str">
        <f t="shared" si="0"/>
        <v>update dbo.MCLProductCodes set ProductType='VOIE' where ProductCode='EMPLOYERS24MONTHS'</v>
      </c>
    </row>
    <row r="6" spans="1:6" x14ac:dyDescent="0.35">
      <c r="A6" s="14" t="s">
        <v>358</v>
      </c>
      <c r="D6" t="str">
        <f t="shared" si="1"/>
        <v>"EMPLOYHIST",</v>
      </c>
      <c r="F6" t="str">
        <f t="shared" si="0"/>
        <v>update dbo.MCLProductCodes set ProductType='VOIE' where ProductCode='EMPLOYHIST'</v>
      </c>
    </row>
    <row r="7" spans="1:6" x14ac:dyDescent="0.35">
      <c r="A7" s="14" t="s">
        <v>193</v>
      </c>
      <c r="D7" t="str">
        <f t="shared" si="1"/>
        <v>"EMPLOYMENT VERIFICATION",</v>
      </c>
      <c r="F7" t="str">
        <f t="shared" si="0"/>
        <v>update dbo.MCLProductCodes set ProductType='VOIE' where ProductCode='EMPLOYMENT VERIFICATION'</v>
      </c>
    </row>
    <row r="8" spans="1:6" x14ac:dyDescent="0.35">
      <c r="A8" t="s">
        <v>149</v>
      </c>
      <c r="D8" t="str">
        <f t="shared" si="1"/>
        <v>"EMPLOYVERIFY",</v>
      </c>
      <c r="F8" t="str">
        <f t="shared" si="0"/>
        <v>update dbo.MCLProductCodes set ProductType='VOIE' where ProductCode='EMPLOYVERIFY'</v>
      </c>
    </row>
    <row r="9" spans="1:6" x14ac:dyDescent="0.35">
      <c r="A9" s="14" t="s">
        <v>1002</v>
      </c>
      <c r="D9" t="str">
        <f t="shared" si="1"/>
        <v>"EXPVERIFYCORE",</v>
      </c>
      <c r="F9" t="str">
        <f t="shared" si="0"/>
        <v>update dbo.MCLProductCodes set ProductType='VOIE' where ProductCode='EXPVERIFYCORE'</v>
      </c>
    </row>
    <row r="10" spans="1:6" x14ac:dyDescent="0.35">
      <c r="A10" s="14" t="s">
        <v>359</v>
      </c>
      <c r="D10" t="str">
        <f t="shared" si="1"/>
        <v>"EXPVERIFYPREMIUM",</v>
      </c>
      <c r="F10" t="str">
        <f t="shared" si="0"/>
        <v>update dbo.MCLProductCodes set ProductType='VOIE' where ProductCode='EXPVERIFYPREMIUM'</v>
      </c>
    </row>
    <row r="11" spans="1:6" x14ac:dyDescent="0.35">
      <c r="A11" s="14" t="s">
        <v>360</v>
      </c>
      <c r="D11" t="str">
        <f t="shared" si="1"/>
        <v>"EXPVERIFYREVERIFYVOE",</v>
      </c>
      <c r="F11" t="str">
        <f t="shared" si="0"/>
        <v>update dbo.MCLProductCodes set ProductType='VOIE' where ProductCode='EXPVERIFYREVERIFYVOE'</v>
      </c>
    </row>
    <row r="12" spans="1:6" x14ac:dyDescent="0.35">
      <c r="A12" s="14" t="s">
        <v>361</v>
      </c>
      <c r="D12" t="str">
        <f t="shared" si="1"/>
        <v>"EXPVERIFYREVERIFYVOIE",</v>
      </c>
      <c r="F12" t="str">
        <f t="shared" si="0"/>
        <v>update dbo.MCLProductCodes set ProductType='VOIE' where ProductCode='EXPVERIFYREVERIFYVOIE'</v>
      </c>
    </row>
    <row r="13" spans="1:6" x14ac:dyDescent="0.35">
      <c r="A13" s="14" t="s">
        <v>367</v>
      </c>
      <c r="D13" t="str">
        <f t="shared" si="1"/>
        <v>"FINALVOE",</v>
      </c>
      <c r="F13" t="str">
        <f t="shared" si="0"/>
        <v>update dbo.MCLProductCodes set ProductType='VOIE' where ProductCode='FINALVOE'</v>
      </c>
    </row>
    <row r="14" spans="1:6" x14ac:dyDescent="0.35">
      <c r="A14" s="14" t="s">
        <v>362</v>
      </c>
      <c r="D14" t="str">
        <f t="shared" si="1"/>
        <v>"INCOMEHIST",</v>
      </c>
      <c r="F14" t="str">
        <f t="shared" si="0"/>
        <v>update dbo.MCLProductCodes set ProductType='VOIE' where ProductCode='INCOMEHIST'</v>
      </c>
    </row>
    <row r="15" spans="1:6" x14ac:dyDescent="0.35">
      <c r="A15" t="s">
        <v>77</v>
      </c>
      <c r="D15" t="str">
        <f t="shared" si="1"/>
        <v>"INCOMEVERIFY",</v>
      </c>
      <c r="F15" t="str">
        <f t="shared" si="0"/>
        <v>update dbo.MCLProductCodes set ProductType='VOIE' where ProductCode='INCOMEVERIFY'</v>
      </c>
    </row>
    <row r="16" spans="1:6" x14ac:dyDescent="0.35">
      <c r="A16" t="s">
        <v>90</v>
      </c>
      <c r="D16" t="str">
        <f t="shared" si="1"/>
        <v>"MANUALSELFEMPLOYED",</v>
      </c>
      <c r="F16" t="str">
        <f t="shared" si="0"/>
        <v>update dbo.MCLProductCodes set ProductType='VOIE' where ProductCode='MANUALSELFEMPLOYED'</v>
      </c>
    </row>
    <row r="17" spans="1:6" x14ac:dyDescent="0.35">
      <c r="A17" s="14" t="s">
        <v>363</v>
      </c>
      <c r="D17" t="str">
        <f t="shared" si="1"/>
        <v>"MANUALVOE",</v>
      </c>
      <c r="F17" t="str">
        <f t="shared" si="0"/>
        <v>update dbo.MCLProductCodes set ProductType='VOIE' where ProductCode='MANUALVOE'</v>
      </c>
    </row>
    <row r="18" spans="1:6" x14ac:dyDescent="0.35">
      <c r="A18" s="14" t="s">
        <v>364</v>
      </c>
      <c r="D18" t="str">
        <f t="shared" si="1"/>
        <v>"MANUALVOI",</v>
      </c>
      <c r="F18" t="str">
        <f t="shared" si="0"/>
        <v>update dbo.MCLProductCodes set ProductType='VOIE' where ProductCode='MANUALVOI'</v>
      </c>
    </row>
    <row r="19" spans="1:6" x14ac:dyDescent="0.35">
      <c r="A19" t="s">
        <v>60</v>
      </c>
      <c r="B19" t="s">
        <v>938</v>
      </c>
      <c r="D19" t="str">
        <f t="shared" si="1"/>
        <v>"MORTGAGESELECTALL",</v>
      </c>
      <c r="F19" t="str">
        <f t="shared" si="0"/>
        <v>update dbo.MCLProductCodes set ProductType='VOIE' where ProductCode='MORTGAGESELECTALL'</v>
      </c>
    </row>
    <row r="20" spans="1:6" x14ac:dyDescent="0.35">
      <c r="A20" s="14" t="s">
        <v>66</v>
      </c>
      <c r="B20" t="s">
        <v>938</v>
      </c>
      <c r="D20" t="str">
        <f t="shared" si="1"/>
        <v>"MSAEMPLOYMENT",</v>
      </c>
      <c r="F20" t="str">
        <f t="shared" si="0"/>
        <v>update dbo.MCLProductCodes set ProductType='VOIE' where ProductCode='MSAEMPLOYMENT'</v>
      </c>
    </row>
    <row r="21" spans="1:6" x14ac:dyDescent="0.35">
      <c r="A21" s="14" t="s">
        <v>85</v>
      </c>
      <c r="B21" t="s">
        <v>938</v>
      </c>
      <c r="D21" t="str">
        <f t="shared" si="1"/>
        <v>"MSAINCOME",</v>
      </c>
      <c r="F21" t="str">
        <f t="shared" si="0"/>
        <v>update dbo.MCLProductCodes set ProductType='VOIE' where ProductCode='MSAINCOME'</v>
      </c>
    </row>
    <row r="22" spans="1:6" x14ac:dyDescent="0.35">
      <c r="A22" s="14" t="s">
        <v>1008</v>
      </c>
      <c r="B22" t="s">
        <v>1009</v>
      </c>
      <c r="D22" t="str">
        <f t="shared" si="1"/>
        <v>"MORTGAGEULTIMATE",</v>
      </c>
      <c r="F22" t="str">
        <f t="shared" si="0"/>
        <v>update dbo.MCLProductCodes set ProductType='VOIE' where ProductCode='MORTGAGEULTIMATE'</v>
      </c>
    </row>
    <row r="23" spans="1:6" x14ac:dyDescent="0.35">
      <c r="A23" t="s">
        <v>354</v>
      </c>
      <c r="D23" t="str">
        <f t="shared" si="1"/>
        <v>"New VOE",</v>
      </c>
      <c r="F23" t="str">
        <f t="shared" si="0"/>
        <v>update dbo.MCLProductCodes set ProductType='VOIE' where ProductCode='New VOE'</v>
      </c>
    </row>
    <row r="24" spans="1:6" x14ac:dyDescent="0.35">
      <c r="A24" t="s">
        <v>288</v>
      </c>
      <c r="D24" t="str">
        <f t="shared" si="1"/>
        <v>"RESEARCHEDVOI",</v>
      </c>
      <c r="F24" t="str">
        <f t="shared" si="0"/>
        <v>update dbo.MCLProductCodes set ProductType='VOIE' where ProductCode='RESEARCHEDVOI'</v>
      </c>
    </row>
    <row r="25" spans="1:6" x14ac:dyDescent="0.35">
      <c r="A25" s="14" t="s">
        <v>365</v>
      </c>
      <c r="D25" t="str">
        <f t="shared" si="1"/>
        <v>"REVERIFY",</v>
      </c>
      <c r="F25" t="str">
        <f t="shared" si="0"/>
        <v>update dbo.MCLProductCodes set ProductType='VOIE' where ProductCode='REVERIFY'</v>
      </c>
    </row>
    <row r="26" spans="1:6" x14ac:dyDescent="0.35">
      <c r="A26" s="14" t="s">
        <v>1003</v>
      </c>
      <c r="D26" t="str">
        <f t="shared" si="1"/>
        <v>"REVERIFYEMP",</v>
      </c>
      <c r="F26" t="str">
        <f t="shared" si="0"/>
        <v>update dbo.MCLProductCodes set ProductType='VOIE' where ProductCode='REVERIFYEMP'</v>
      </c>
    </row>
    <row r="27" spans="1:6" x14ac:dyDescent="0.35">
      <c r="A27" s="14" t="s">
        <v>150</v>
      </c>
      <c r="D27" t="str">
        <f t="shared" si="1"/>
        <v>"THIRD PARTY AUTOMATED VOE FEE",</v>
      </c>
      <c r="F27" t="str">
        <f t="shared" si="0"/>
        <v>update dbo.MCLProductCodes set ProductType='VOIE' where ProductCode='THIRD PARTY AUTOMATED VOE FEE'</v>
      </c>
    </row>
    <row r="28" spans="1:6" x14ac:dyDescent="0.35">
      <c r="A28" t="s">
        <v>133</v>
      </c>
      <c r="D28" t="str">
        <f t="shared" si="1"/>
        <v>"TWN TRANSACTIONAL FEE",</v>
      </c>
      <c r="F28" t="str">
        <f t="shared" si="0"/>
        <v>update dbo.MCLProductCodes set ProductType='VOIE' where ProductCode='TWN TRANSACTIONAL FEE'</v>
      </c>
    </row>
    <row r="29" spans="1:6" x14ac:dyDescent="0.35">
      <c r="A29" s="14" t="s">
        <v>247</v>
      </c>
      <c r="D29" t="str">
        <f t="shared" si="1"/>
        <v>"VERIFICATION OF EMPLOYMENT",</v>
      </c>
      <c r="F29" t="str">
        <f t="shared" si="0"/>
        <v>update dbo.MCLProductCodes set ProductType='VOIE' where ProductCode='VERIFICATION OF EMPLOYMENT'</v>
      </c>
    </row>
    <row r="30" spans="1:6" x14ac:dyDescent="0.35">
      <c r="A30" t="s">
        <v>186</v>
      </c>
      <c r="D30" t="str">
        <f t="shared" si="1"/>
        <v>"VOE Reissue",</v>
      </c>
      <c r="F30" t="str">
        <f t="shared" si="0"/>
        <v>update dbo.MCLProductCodes set ProductType='VOIE' where ProductCode='VOE Reissue'</v>
      </c>
    </row>
    <row r="31" spans="1:6" x14ac:dyDescent="0.35">
      <c r="A31" s="14" t="s">
        <v>368</v>
      </c>
      <c r="D31" t="str">
        <f t="shared" si="1"/>
        <v>"MISC",</v>
      </c>
      <c r="F31" t="str">
        <f t="shared" si="0"/>
        <v>update dbo.MCLProductCodes set ProductType='VOIE' where ProductCode='MISC'</v>
      </c>
    </row>
    <row r="32" spans="1:6" x14ac:dyDescent="0.35">
      <c r="A32" t="s">
        <v>1166</v>
      </c>
      <c r="D32" t="str">
        <f t="shared" si="1"/>
        <v>"CANCELLATION CHARGE",</v>
      </c>
      <c r="F32" t="str">
        <f t="shared" si="0"/>
        <v>update dbo.MCLProductCodes set ProductType='VOIE' where ProductCode='CANCELLATION CHARGE'</v>
      </c>
    </row>
    <row r="33" spans="1:6" x14ac:dyDescent="0.35">
      <c r="A33" s="14" t="s">
        <v>1167</v>
      </c>
      <c r="D33" t="str">
        <f t="shared" si="1"/>
        <v>"THIRD PARTY VENDOR",</v>
      </c>
      <c r="F33" t="str">
        <f t="shared" si="0"/>
        <v>update dbo.MCLProductCodes set ProductType='VOIE' where ProductCode='THIRD PARTY VENDOR'</v>
      </c>
    </row>
  </sheetData>
  <sortState xmlns:xlrd2="http://schemas.microsoft.com/office/spreadsheetml/2017/richdata2" ref="A2:D30">
    <sortCondition ref="A4:A30"/>
  </sortState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45DD-E716-496B-9486-9E3540C6CBFE}">
  <dimension ref="A1:D250"/>
  <sheetViews>
    <sheetView topLeftCell="A137" workbookViewId="0">
      <selection activeCell="B168" sqref="B168"/>
    </sheetView>
  </sheetViews>
  <sheetFormatPr defaultRowHeight="14.5" x14ac:dyDescent="0.35"/>
  <cols>
    <col min="1" max="1" width="15.81640625" style="7" customWidth="1"/>
    <col min="2" max="2" width="65.26953125" style="7" customWidth="1"/>
    <col min="3" max="3" width="17.1796875" style="7" customWidth="1"/>
    <col min="4" max="4" width="9.1796875" style="4"/>
  </cols>
  <sheetData>
    <row r="1" spans="1:3" x14ac:dyDescent="0.35">
      <c r="A1" s="8" t="s">
        <v>424</v>
      </c>
      <c r="B1" s="8" t="s">
        <v>425</v>
      </c>
      <c r="C1" s="8" t="s">
        <v>426</v>
      </c>
    </row>
    <row r="2" spans="1:3" x14ac:dyDescent="0.35">
      <c r="A2" s="7" t="s">
        <v>696</v>
      </c>
      <c r="B2" s="7" t="s">
        <v>697</v>
      </c>
      <c r="C2" s="7" t="s">
        <v>698</v>
      </c>
    </row>
    <row r="3" spans="1:3" x14ac:dyDescent="0.35">
      <c r="A3" s="7">
        <v>71119</v>
      </c>
      <c r="B3" s="7" t="s">
        <v>508</v>
      </c>
      <c r="C3" s="7" t="s">
        <v>509</v>
      </c>
    </row>
    <row r="4" spans="1:3" x14ac:dyDescent="0.35">
      <c r="A4" s="7" t="s">
        <v>913</v>
      </c>
      <c r="B4" s="7" t="s">
        <v>914</v>
      </c>
      <c r="C4" s="7" t="s">
        <v>915</v>
      </c>
    </row>
    <row r="5" spans="1:3" x14ac:dyDescent="0.35">
      <c r="A5" s="7" t="s">
        <v>824</v>
      </c>
      <c r="B5" s="7" t="s">
        <v>825</v>
      </c>
      <c r="C5" s="7" t="s">
        <v>826</v>
      </c>
    </row>
    <row r="6" spans="1:3" x14ac:dyDescent="0.35">
      <c r="A6" s="7" t="s">
        <v>637</v>
      </c>
      <c r="B6" s="7" t="s">
        <v>638</v>
      </c>
      <c r="C6" s="7" t="s">
        <v>639</v>
      </c>
    </row>
    <row r="7" spans="1:3" x14ac:dyDescent="0.35">
      <c r="A7" s="7" t="s">
        <v>810</v>
      </c>
      <c r="B7" s="7" t="s">
        <v>811</v>
      </c>
      <c r="C7" s="7" t="s">
        <v>812</v>
      </c>
    </row>
    <row r="8" spans="1:3" x14ac:dyDescent="0.35">
      <c r="A8" s="7">
        <v>71129</v>
      </c>
      <c r="B8" s="7" t="s">
        <v>510</v>
      </c>
      <c r="C8" s="7" t="s">
        <v>511</v>
      </c>
    </row>
    <row r="9" spans="1:3" x14ac:dyDescent="0.35">
      <c r="A9" s="7" t="s">
        <v>834</v>
      </c>
      <c r="B9" s="7" t="s">
        <v>835</v>
      </c>
      <c r="C9" s="7" t="s">
        <v>836</v>
      </c>
    </row>
    <row r="10" spans="1:3" x14ac:dyDescent="0.35">
      <c r="A10" s="7" t="s">
        <v>674</v>
      </c>
      <c r="B10" s="7" t="s">
        <v>675</v>
      </c>
      <c r="C10" s="7" t="s">
        <v>676</v>
      </c>
    </row>
    <row r="11" spans="1:3" x14ac:dyDescent="0.35">
      <c r="A11" s="7">
        <v>71148</v>
      </c>
      <c r="B11" s="7" t="s">
        <v>516</v>
      </c>
      <c r="C11" s="7" t="s">
        <v>517</v>
      </c>
    </row>
    <row r="12" spans="1:3" x14ac:dyDescent="0.35">
      <c r="A12" s="7">
        <v>15143</v>
      </c>
      <c r="B12" s="7" t="s">
        <v>439</v>
      </c>
      <c r="C12" s="7" t="s">
        <v>440</v>
      </c>
    </row>
    <row r="13" spans="1:3" x14ac:dyDescent="0.35">
      <c r="A13" s="7">
        <v>71184</v>
      </c>
      <c r="B13" s="7" t="s">
        <v>556</v>
      </c>
      <c r="C13" s="7" t="s">
        <v>557</v>
      </c>
    </row>
    <row r="14" spans="1:3" x14ac:dyDescent="0.35">
      <c r="A14" s="7">
        <v>71109</v>
      </c>
      <c r="B14" s="7" t="s">
        <v>499</v>
      </c>
      <c r="C14" s="7" t="s">
        <v>500</v>
      </c>
    </row>
    <row r="15" spans="1:3" x14ac:dyDescent="0.35">
      <c r="A15" s="7" t="s">
        <v>902</v>
      </c>
      <c r="B15" s="7" t="s">
        <v>903</v>
      </c>
      <c r="C15" s="7" t="s">
        <v>904</v>
      </c>
    </row>
    <row r="16" spans="1:3" x14ac:dyDescent="0.35">
      <c r="A16" s="7" t="s">
        <v>775</v>
      </c>
      <c r="B16" s="7" t="s">
        <v>776</v>
      </c>
      <c r="C16" s="7" t="s">
        <v>777</v>
      </c>
    </row>
    <row r="17" spans="1:3" x14ac:dyDescent="0.35">
      <c r="A17" s="7">
        <v>9008</v>
      </c>
      <c r="B17" s="7" t="s">
        <v>589</v>
      </c>
      <c r="C17" s="7" t="s">
        <v>590</v>
      </c>
    </row>
    <row r="18" spans="1:3" x14ac:dyDescent="0.35">
      <c r="A18" s="7">
        <v>71071</v>
      </c>
      <c r="B18" s="7" t="s">
        <v>478</v>
      </c>
      <c r="C18" s="7" t="s">
        <v>479</v>
      </c>
    </row>
    <row r="19" spans="1:3" x14ac:dyDescent="0.35">
      <c r="A19" s="7" t="s">
        <v>918</v>
      </c>
      <c r="B19" s="7" t="s">
        <v>919</v>
      </c>
      <c r="C19" s="7" t="s">
        <v>920</v>
      </c>
    </row>
    <row r="20" spans="1:3" x14ac:dyDescent="0.35">
      <c r="A20" s="7" t="s">
        <v>649</v>
      </c>
      <c r="B20" s="7" t="s">
        <v>650</v>
      </c>
      <c r="C20" s="7" t="s">
        <v>651</v>
      </c>
    </row>
    <row r="21" spans="1:3" x14ac:dyDescent="0.35">
      <c r="A21" s="7" t="s">
        <v>652</v>
      </c>
      <c r="B21" s="7" t="s">
        <v>653</v>
      </c>
      <c r="C21" s="7" t="s">
        <v>651</v>
      </c>
    </row>
    <row r="22" spans="1:3" x14ac:dyDescent="0.35">
      <c r="A22" s="7" t="s">
        <v>701</v>
      </c>
      <c r="B22" s="7" t="s">
        <v>702</v>
      </c>
      <c r="C22" s="7" t="s">
        <v>703</v>
      </c>
    </row>
    <row r="23" spans="1:3" x14ac:dyDescent="0.35">
      <c r="A23" s="7" t="s">
        <v>615</v>
      </c>
      <c r="B23" s="7" t="s">
        <v>616</v>
      </c>
      <c r="C23" s="7" t="s">
        <v>617</v>
      </c>
    </row>
    <row r="24" spans="1:3" x14ac:dyDescent="0.35">
      <c r="A24" s="7">
        <v>7941</v>
      </c>
      <c r="B24" s="7" t="s">
        <v>569</v>
      </c>
      <c r="C24" s="7" t="s">
        <v>514</v>
      </c>
    </row>
    <row r="25" spans="1:3" x14ac:dyDescent="0.35">
      <c r="A25" s="7">
        <v>71137</v>
      </c>
      <c r="B25" s="7" t="s">
        <v>513</v>
      </c>
      <c r="C25" s="7" t="s">
        <v>514</v>
      </c>
    </row>
    <row r="26" spans="1:3" x14ac:dyDescent="0.35">
      <c r="A26" s="7">
        <v>71166</v>
      </c>
      <c r="B26" s="7" t="s">
        <v>534</v>
      </c>
      <c r="C26" s="7" t="s">
        <v>514</v>
      </c>
    </row>
    <row r="27" spans="1:3" x14ac:dyDescent="0.35">
      <c r="A27" s="7">
        <v>71168</v>
      </c>
      <c r="B27" s="7" t="s">
        <v>535</v>
      </c>
      <c r="C27" s="7" t="s">
        <v>514</v>
      </c>
    </row>
    <row r="28" spans="1:3" x14ac:dyDescent="0.35">
      <c r="A28" s="7">
        <v>71169</v>
      </c>
      <c r="B28" s="7" t="s">
        <v>536</v>
      </c>
      <c r="C28" s="7" t="s">
        <v>514</v>
      </c>
    </row>
    <row r="29" spans="1:3" x14ac:dyDescent="0.35">
      <c r="A29" s="7">
        <v>71174</v>
      </c>
      <c r="B29" s="7" t="s">
        <v>539</v>
      </c>
      <c r="C29" s="7" t="s">
        <v>514</v>
      </c>
    </row>
    <row r="30" spans="1:3" x14ac:dyDescent="0.35">
      <c r="A30" s="7">
        <v>71180</v>
      </c>
      <c r="B30" s="7" t="s">
        <v>555</v>
      </c>
      <c r="C30" s="7" t="s">
        <v>514</v>
      </c>
    </row>
    <row r="31" spans="1:3" x14ac:dyDescent="0.35">
      <c r="A31" s="7">
        <v>71187</v>
      </c>
      <c r="B31" s="7" t="s">
        <v>558</v>
      </c>
      <c r="C31" s="7" t="s">
        <v>514</v>
      </c>
    </row>
    <row r="32" spans="1:3" x14ac:dyDescent="0.35">
      <c r="A32" s="7">
        <v>71200</v>
      </c>
      <c r="B32" s="7" t="s">
        <v>564</v>
      </c>
      <c r="C32" s="7" t="s">
        <v>514</v>
      </c>
    </row>
    <row r="33" spans="1:3" x14ac:dyDescent="0.35">
      <c r="A33" s="7" t="s">
        <v>570</v>
      </c>
      <c r="B33" s="7" t="s">
        <v>571</v>
      </c>
      <c r="C33" s="7" t="s">
        <v>514</v>
      </c>
    </row>
    <row r="34" spans="1:3" x14ac:dyDescent="0.35">
      <c r="A34" s="7" t="s">
        <v>572</v>
      </c>
      <c r="B34" s="7" t="s">
        <v>573</v>
      </c>
      <c r="C34" s="7" t="s">
        <v>514</v>
      </c>
    </row>
    <row r="35" spans="1:3" x14ac:dyDescent="0.35">
      <c r="A35" s="7" t="s">
        <v>574</v>
      </c>
      <c r="B35" s="7" t="s">
        <v>575</v>
      </c>
      <c r="C35" s="7" t="s">
        <v>514</v>
      </c>
    </row>
    <row r="36" spans="1:3" x14ac:dyDescent="0.35">
      <c r="A36" s="7" t="s">
        <v>576</v>
      </c>
      <c r="B36" s="7" t="s">
        <v>577</v>
      </c>
      <c r="C36" s="7" t="s">
        <v>514</v>
      </c>
    </row>
    <row r="37" spans="1:3" x14ac:dyDescent="0.35">
      <c r="A37" s="7" t="s">
        <v>578</v>
      </c>
      <c r="B37" s="7" t="s">
        <v>579</v>
      </c>
      <c r="C37" s="7" t="s">
        <v>514</v>
      </c>
    </row>
    <row r="38" spans="1:3" x14ac:dyDescent="0.35">
      <c r="A38" s="7" t="s">
        <v>580</v>
      </c>
      <c r="B38" s="7" t="s">
        <v>581</v>
      </c>
      <c r="C38" s="7" t="s">
        <v>514</v>
      </c>
    </row>
    <row r="39" spans="1:3" x14ac:dyDescent="0.35">
      <c r="A39" s="7" t="s">
        <v>582</v>
      </c>
      <c r="B39" s="7" t="s">
        <v>583</v>
      </c>
      <c r="C39" s="7" t="s">
        <v>514</v>
      </c>
    </row>
    <row r="40" spans="1:3" x14ac:dyDescent="0.35">
      <c r="A40" s="7" t="s">
        <v>584</v>
      </c>
      <c r="B40" s="7" t="s">
        <v>585</v>
      </c>
      <c r="C40" s="7" t="s">
        <v>514</v>
      </c>
    </row>
    <row r="41" spans="1:3" x14ac:dyDescent="0.35">
      <c r="A41" s="7" t="s">
        <v>586</v>
      </c>
      <c r="B41" s="7" t="s">
        <v>587</v>
      </c>
      <c r="C41" s="7" t="s">
        <v>514</v>
      </c>
    </row>
    <row r="42" spans="1:3" x14ac:dyDescent="0.35">
      <c r="A42" s="7">
        <v>6664</v>
      </c>
      <c r="B42" s="7" t="s">
        <v>457</v>
      </c>
      <c r="C42" s="7" t="s">
        <v>458</v>
      </c>
    </row>
    <row r="43" spans="1:3" x14ac:dyDescent="0.35">
      <c r="A43" s="7" t="s">
        <v>610</v>
      </c>
      <c r="B43" s="7" t="s">
        <v>611</v>
      </c>
      <c r="C43" s="7" t="s">
        <v>612</v>
      </c>
    </row>
    <row r="44" spans="1:3" x14ac:dyDescent="0.35">
      <c r="A44" s="7" t="s">
        <v>605</v>
      </c>
      <c r="B44" s="7" t="s">
        <v>606</v>
      </c>
      <c r="C44" s="7" t="s">
        <v>607</v>
      </c>
    </row>
    <row r="45" spans="1:3" x14ac:dyDescent="0.35">
      <c r="A45" s="7" t="s">
        <v>667</v>
      </c>
      <c r="B45" s="7" t="s">
        <v>668</v>
      </c>
      <c r="C45" s="7" t="s">
        <v>669</v>
      </c>
    </row>
    <row r="46" spans="1:3" x14ac:dyDescent="0.35">
      <c r="A46" s="7" t="s">
        <v>670</v>
      </c>
      <c r="B46" s="7" t="s">
        <v>671</v>
      </c>
      <c r="C46" s="7" t="s">
        <v>669</v>
      </c>
    </row>
    <row r="47" spans="1:3" x14ac:dyDescent="0.35">
      <c r="A47" s="7">
        <v>15040</v>
      </c>
      <c r="B47" s="7" t="s">
        <v>430</v>
      </c>
      <c r="C47" s="7" t="s">
        <v>431</v>
      </c>
    </row>
    <row r="48" spans="1:3" x14ac:dyDescent="0.35">
      <c r="A48" s="7">
        <v>71028</v>
      </c>
      <c r="B48" s="7" t="s">
        <v>461</v>
      </c>
      <c r="C48" s="7" t="s">
        <v>462</v>
      </c>
    </row>
    <row r="49" spans="1:3" x14ac:dyDescent="0.35">
      <c r="A49" s="7" t="s">
        <v>480</v>
      </c>
      <c r="B49" s="7" t="s">
        <v>481</v>
      </c>
      <c r="C49" s="7" t="s">
        <v>462</v>
      </c>
    </row>
    <row r="50" spans="1:3" x14ac:dyDescent="0.35">
      <c r="A50" s="7">
        <v>71191</v>
      </c>
      <c r="B50" s="7" t="s">
        <v>560</v>
      </c>
      <c r="C50" s="7" t="s">
        <v>561</v>
      </c>
    </row>
    <row r="51" spans="1:3" x14ac:dyDescent="0.35">
      <c r="A51" s="7">
        <v>15017</v>
      </c>
      <c r="B51" s="7" t="s">
        <v>428</v>
      </c>
      <c r="C51" s="7" t="s">
        <v>429</v>
      </c>
    </row>
    <row r="52" spans="1:3" x14ac:dyDescent="0.35">
      <c r="A52" s="7" t="s">
        <v>685</v>
      </c>
      <c r="B52" s="7" t="s">
        <v>686</v>
      </c>
      <c r="C52" s="7" t="s">
        <v>687</v>
      </c>
    </row>
    <row r="53" spans="1:3" x14ac:dyDescent="0.35">
      <c r="A53" s="7" t="s">
        <v>688</v>
      </c>
      <c r="B53" s="7" t="s">
        <v>689</v>
      </c>
      <c r="C53" s="7" t="s">
        <v>687</v>
      </c>
    </row>
    <row r="54" spans="1:3" x14ac:dyDescent="0.35">
      <c r="A54" s="7" t="s">
        <v>690</v>
      </c>
      <c r="B54" s="7" t="s">
        <v>691</v>
      </c>
      <c r="C54" s="7" t="s">
        <v>687</v>
      </c>
    </row>
    <row r="55" spans="1:3" x14ac:dyDescent="0.35">
      <c r="A55" s="7" t="s">
        <v>692</v>
      </c>
      <c r="B55" s="7" t="s">
        <v>693</v>
      </c>
      <c r="C55" s="7" t="s">
        <v>687</v>
      </c>
    </row>
    <row r="56" spans="1:3" x14ac:dyDescent="0.35">
      <c r="A56" s="7" t="s">
        <v>694</v>
      </c>
      <c r="B56" s="7" t="s">
        <v>695</v>
      </c>
      <c r="C56" s="7" t="s">
        <v>687</v>
      </c>
    </row>
    <row r="57" spans="1:3" x14ac:dyDescent="0.35">
      <c r="A57" s="7" t="s">
        <v>910</v>
      </c>
      <c r="B57" s="7" t="s">
        <v>911</v>
      </c>
      <c r="C57" s="7" t="s">
        <v>912</v>
      </c>
    </row>
    <row r="58" spans="1:3" x14ac:dyDescent="0.35">
      <c r="A58" s="7" t="s">
        <v>840</v>
      </c>
      <c r="B58" s="7" t="s">
        <v>841</v>
      </c>
      <c r="C58" s="7" t="s">
        <v>842</v>
      </c>
    </row>
    <row r="59" spans="1:3" x14ac:dyDescent="0.35">
      <c r="A59" s="7" t="s">
        <v>719</v>
      </c>
      <c r="B59" s="7" t="s">
        <v>720</v>
      </c>
      <c r="C59" s="7" t="s">
        <v>721</v>
      </c>
    </row>
    <row r="60" spans="1:3" x14ac:dyDescent="0.35">
      <c r="A60" s="7" t="s">
        <v>450</v>
      </c>
      <c r="B60" s="7" t="s">
        <v>451</v>
      </c>
      <c r="C60" s="7" t="s">
        <v>452</v>
      </c>
    </row>
    <row r="61" spans="1:3" x14ac:dyDescent="0.35">
      <c r="A61" s="7" t="s">
        <v>827</v>
      </c>
      <c r="B61" s="7" t="s">
        <v>828</v>
      </c>
      <c r="C61" s="7" t="s">
        <v>829</v>
      </c>
    </row>
    <row r="62" spans="1:3" x14ac:dyDescent="0.35">
      <c r="A62" s="7" t="s">
        <v>528</v>
      </c>
      <c r="B62" s="7" t="s">
        <v>529</v>
      </c>
      <c r="C62" s="7" t="s">
        <v>530</v>
      </c>
    </row>
    <row r="63" spans="1:3" x14ac:dyDescent="0.35">
      <c r="A63" s="7" t="s">
        <v>531</v>
      </c>
      <c r="B63" s="7" t="s">
        <v>532</v>
      </c>
      <c r="C63" s="7" t="s">
        <v>530</v>
      </c>
    </row>
    <row r="64" spans="1:3" x14ac:dyDescent="0.35">
      <c r="A64" s="7">
        <v>15098</v>
      </c>
      <c r="B64" s="7" t="s">
        <v>435</v>
      </c>
      <c r="C64" s="7" t="s">
        <v>436</v>
      </c>
    </row>
    <row r="65" spans="1:3" x14ac:dyDescent="0.35">
      <c r="A65" s="7" t="s">
        <v>640</v>
      </c>
      <c r="B65" s="7" t="s">
        <v>641</v>
      </c>
      <c r="C65" s="7" t="s">
        <v>642</v>
      </c>
    </row>
    <row r="66" spans="1:3" x14ac:dyDescent="0.35">
      <c r="A66" s="7" t="s">
        <v>596</v>
      </c>
      <c r="B66" s="7" t="s">
        <v>597</v>
      </c>
      <c r="C66" s="7" t="s">
        <v>598</v>
      </c>
    </row>
    <row r="67" spans="1:3" x14ac:dyDescent="0.35">
      <c r="A67" s="7" t="s">
        <v>618</v>
      </c>
      <c r="B67" s="7" t="s">
        <v>619</v>
      </c>
      <c r="C67" s="7" t="s">
        <v>620</v>
      </c>
    </row>
    <row r="68" spans="1:3" x14ac:dyDescent="0.35">
      <c r="A68" s="7">
        <v>7479</v>
      </c>
      <c r="B68" s="7" t="s">
        <v>566</v>
      </c>
      <c r="C68" s="7" t="s">
        <v>567</v>
      </c>
    </row>
    <row r="69" spans="1:3" x14ac:dyDescent="0.35">
      <c r="A69" s="7" t="s">
        <v>568</v>
      </c>
      <c r="B69" s="7" t="s">
        <v>566</v>
      </c>
      <c r="C69" s="7" t="s">
        <v>567</v>
      </c>
    </row>
    <row r="70" spans="1:3" x14ac:dyDescent="0.35">
      <c r="A70" s="7">
        <v>70000</v>
      </c>
      <c r="B70" s="7" t="s">
        <v>459</v>
      </c>
      <c r="C70" s="7" t="s">
        <v>460</v>
      </c>
    </row>
    <row r="71" spans="1:3" x14ac:dyDescent="0.35">
      <c r="A71" s="7">
        <v>71152</v>
      </c>
      <c r="B71" s="7" t="s">
        <v>519</v>
      </c>
      <c r="C71" s="7" t="s">
        <v>520</v>
      </c>
    </row>
    <row r="72" spans="1:3" x14ac:dyDescent="0.35">
      <c r="A72" s="7" t="s">
        <v>682</v>
      </c>
      <c r="B72" s="7" t="s">
        <v>683</v>
      </c>
      <c r="C72" s="7" t="s">
        <v>684</v>
      </c>
    </row>
    <row r="73" spans="1:3" x14ac:dyDescent="0.35">
      <c r="A73" s="7">
        <v>71192</v>
      </c>
      <c r="B73" s="7" t="s">
        <v>562</v>
      </c>
      <c r="C73" s="7" t="s">
        <v>563</v>
      </c>
    </row>
    <row r="74" spans="1:3" x14ac:dyDescent="0.35">
      <c r="A74" s="7">
        <v>71172</v>
      </c>
      <c r="B74" s="7" t="s">
        <v>537</v>
      </c>
      <c r="C74" s="7" t="s">
        <v>538</v>
      </c>
    </row>
    <row r="75" spans="1:3" x14ac:dyDescent="0.35">
      <c r="A75" s="7" t="s">
        <v>899</v>
      </c>
      <c r="B75" s="7" t="s">
        <v>900</v>
      </c>
      <c r="C75" s="7" t="s">
        <v>901</v>
      </c>
    </row>
    <row r="76" spans="1:3" x14ac:dyDescent="0.35">
      <c r="A76" s="7" t="s">
        <v>865</v>
      </c>
      <c r="B76" s="7" t="s">
        <v>866</v>
      </c>
      <c r="C76" s="7" t="s">
        <v>867</v>
      </c>
    </row>
    <row r="77" spans="1:3" x14ac:dyDescent="0.35">
      <c r="A77" s="7" t="s">
        <v>837</v>
      </c>
      <c r="B77" s="7" t="s">
        <v>838</v>
      </c>
      <c r="C77" s="7" t="s">
        <v>839</v>
      </c>
    </row>
    <row r="78" spans="1:3" x14ac:dyDescent="0.35">
      <c r="A78" s="7" t="s">
        <v>847</v>
      </c>
      <c r="B78" s="7" t="s">
        <v>848</v>
      </c>
      <c r="C78" s="7" t="s">
        <v>839</v>
      </c>
    </row>
    <row r="79" spans="1:3" x14ac:dyDescent="0.35">
      <c r="A79" s="7" t="s">
        <v>849</v>
      </c>
      <c r="B79" s="7" t="s">
        <v>850</v>
      </c>
      <c r="C79" s="7" t="s">
        <v>839</v>
      </c>
    </row>
    <row r="80" spans="1:3" x14ac:dyDescent="0.35">
      <c r="A80" s="7" t="s">
        <v>851</v>
      </c>
      <c r="B80" s="7" t="s">
        <v>852</v>
      </c>
      <c r="C80" s="7" t="s">
        <v>839</v>
      </c>
    </row>
    <row r="81" spans="1:3" x14ac:dyDescent="0.35">
      <c r="A81" s="7" t="s">
        <v>853</v>
      </c>
      <c r="B81" s="7" t="s">
        <v>854</v>
      </c>
      <c r="C81" s="7" t="s">
        <v>839</v>
      </c>
    </row>
    <row r="82" spans="1:3" x14ac:dyDescent="0.35">
      <c r="A82" s="7" t="s">
        <v>855</v>
      </c>
      <c r="B82" s="7" t="s">
        <v>856</v>
      </c>
      <c r="C82" s="7" t="s">
        <v>839</v>
      </c>
    </row>
    <row r="83" spans="1:3" x14ac:dyDescent="0.35">
      <c r="A83" s="7" t="s">
        <v>857</v>
      </c>
      <c r="B83" s="7" t="s">
        <v>858</v>
      </c>
      <c r="C83" s="7" t="s">
        <v>839</v>
      </c>
    </row>
    <row r="84" spans="1:3" x14ac:dyDescent="0.35">
      <c r="A84" s="7" t="s">
        <v>859</v>
      </c>
      <c r="B84" s="7" t="s">
        <v>860</v>
      </c>
      <c r="C84" s="7" t="s">
        <v>839</v>
      </c>
    </row>
    <row r="85" spans="1:3" x14ac:dyDescent="0.35">
      <c r="A85" s="7" t="s">
        <v>861</v>
      </c>
      <c r="B85" s="7" t="s">
        <v>862</v>
      </c>
      <c r="C85" s="7" t="s">
        <v>839</v>
      </c>
    </row>
    <row r="86" spans="1:3" x14ac:dyDescent="0.35">
      <c r="A86" s="7" t="s">
        <v>863</v>
      </c>
      <c r="B86" s="7" t="s">
        <v>864</v>
      </c>
      <c r="C86" s="7" t="s">
        <v>839</v>
      </c>
    </row>
    <row r="87" spans="1:3" x14ac:dyDescent="0.35">
      <c r="A87" s="7" t="s">
        <v>868</v>
      </c>
      <c r="B87" s="7" t="s">
        <v>869</v>
      </c>
      <c r="C87" s="7" t="s">
        <v>870</v>
      </c>
    </row>
    <row r="88" spans="1:3" x14ac:dyDescent="0.35">
      <c r="A88" s="7" t="s">
        <v>871</v>
      </c>
      <c r="B88" s="7" t="s">
        <v>872</v>
      </c>
      <c r="C88" s="7" t="s">
        <v>870</v>
      </c>
    </row>
    <row r="89" spans="1:3" x14ac:dyDescent="0.35">
      <c r="A89" s="7" t="s">
        <v>873</v>
      </c>
      <c r="B89" s="7" t="s">
        <v>874</v>
      </c>
      <c r="C89" s="7" t="s">
        <v>870</v>
      </c>
    </row>
    <row r="90" spans="1:3" x14ac:dyDescent="0.35">
      <c r="A90" s="7" t="s">
        <v>875</v>
      </c>
      <c r="B90" s="7" t="s">
        <v>876</v>
      </c>
      <c r="C90" s="7" t="s">
        <v>870</v>
      </c>
    </row>
    <row r="91" spans="1:3" x14ac:dyDescent="0.35">
      <c r="A91" s="7" t="s">
        <v>877</v>
      </c>
      <c r="B91" s="7" t="s">
        <v>878</v>
      </c>
      <c r="C91" s="7" t="s">
        <v>870</v>
      </c>
    </row>
    <row r="92" spans="1:3" x14ac:dyDescent="0.35">
      <c r="A92" s="7" t="s">
        <v>879</v>
      </c>
      <c r="B92" s="7" t="s">
        <v>880</v>
      </c>
      <c r="C92" s="7" t="s">
        <v>870</v>
      </c>
    </row>
    <row r="93" spans="1:3" x14ac:dyDescent="0.35">
      <c r="A93" s="7" t="s">
        <v>881</v>
      </c>
      <c r="B93" s="7" t="s">
        <v>882</v>
      </c>
      <c r="C93" s="7" t="s">
        <v>870</v>
      </c>
    </row>
    <row r="94" spans="1:3" x14ac:dyDescent="0.35">
      <c r="A94" s="7" t="s">
        <v>883</v>
      </c>
      <c r="B94" s="7" t="s">
        <v>884</v>
      </c>
      <c r="C94" s="7" t="s">
        <v>870</v>
      </c>
    </row>
    <row r="95" spans="1:3" x14ac:dyDescent="0.35">
      <c r="A95" s="7" t="s">
        <v>885</v>
      </c>
      <c r="B95" s="7" t="s">
        <v>886</v>
      </c>
      <c r="C95" s="7" t="s">
        <v>870</v>
      </c>
    </row>
    <row r="96" spans="1:3" x14ac:dyDescent="0.35">
      <c r="A96" s="7" t="s">
        <v>887</v>
      </c>
      <c r="B96" s="7" t="s">
        <v>888</v>
      </c>
      <c r="C96" s="7" t="s">
        <v>870</v>
      </c>
    </row>
    <row r="97" spans="1:3" x14ac:dyDescent="0.35">
      <c r="A97" s="7" t="s">
        <v>889</v>
      </c>
      <c r="B97" s="7" t="s">
        <v>890</v>
      </c>
      <c r="C97" s="7" t="s">
        <v>870</v>
      </c>
    </row>
    <row r="98" spans="1:3" x14ac:dyDescent="0.35">
      <c r="A98" s="7" t="s">
        <v>891</v>
      </c>
      <c r="B98" s="7" t="s">
        <v>892</v>
      </c>
      <c r="C98" s="7" t="s">
        <v>870</v>
      </c>
    </row>
    <row r="99" spans="1:3" x14ac:dyDescent="0.35">
      <c r="A99" s="7" t="s">
        <v>893</v>
      </c>
      <c r="B99" s="7" t="s">
        <v>894</v>
      </c>
      <c r="C99" s="7" t="s">
        <v>870</v>
      </c>
    </row>
    <row r="100" spans="1:3" x14ac:dyDescent="0.35">
      <c r="A100" s="7" t="s">
        <v>677</v>
      </c>
      <c r="B100" s="7" t="s">
        <v>678</v>
      </c>
      <c r="C100" s="7" t="s">
        <v>679</v>
      </c>
    </row>
    <row r="101" spans="1:3" x14ac:dyDescent="0.35">
      <c r="A101" s="7" t="s">
        <v>727</v>
      </c>
      <c r="B101" s="7" t="s">
        <v>728</v>
      </c>
      <c r="C101" s="7" t="s">
        <v>729</v>
      </c>
    </row>
    <row r="102" spans="1:3" x14ac:dyDescent="0.35">
      <c r="A102" s="7" t="s">
        <v>730</v>
      </c>
      <c r="B102" s="7" t="s">
        <v>731</v>
      </c>
      <c r="C102" s="7" t="s">
        <v>729</v>
      </c>
    </row>
    <row r="103" spans="1:3" x14ac:dyDescent="0.35">
      <c r="A103" s="7" t="s">
        <v>732</v>
      </c>
      <c r="B103" s="7" t="s">
        <v>733</v>
      </c>
      <c r="C103" s="7" t="s">
        <v>729</v>
      </c>
    </row>
    <row r="104" spans="1:3" x14ac:dyDescent="0.35">
      <c r="A104" s="7" t="s">
        <v>734</v>
      </c>
      <c r="B104" s="7" t="s">
        <v>735</v>
      </c>
      <c r="C104" s="7" t="s">
        <v>729</v>
      </c>
    </row>
    <row r="105" spans="1:3" x14ac:dyDescent="0.35">
      <c r="A105" s="7" t="s">
        <v>736</v>
      </c>
      <c r="B105" s="7" t="s">
        <v>737</v>
      </c>
      <c r="C105" s="7" t="s">
        <v>729</v>
      </c>
    </row>
    <row r="106" spans="1:3" x14ac:dyDescent="0.35">
      <c r="A106" s="7" t="s">
        <v>738</v>
      </c>
      <c r="B106" s="7" t="s">
        <v>739</v>
      </c>
      <c r="C106" s="7" t="s">
        <v>729</v>
      </c>
    </row>
    <row r="107" spans="1:3" x14ac:dyDescent="0.35">
      <c r="A107" s="7" t="s">
        <v>740</v>
      </c>
      <c r="B107" s="7" t="s">
        <v>741</v>
      </c>
      <c r="C107" s="7" t="s">
        <v>729</v>
      </c>
    </row>
    <row r="108" spans="1:3" x14ac:dyDescent="0.35">
      <c r="A108" s="7" t="s">
        <v>742</v>
      </c>
      <c r="B108" s="7" t="s">
        <v>743</v>
      </c>
      <c r="C108" s="7" t="s">
        <v>729</v>
      </c>
    </row>
    <row r="109" spans="1:3" x14ac:dyDescent="0.35">
      <c r="A109" s="7" t="s">
        <v>744</v>
      </c>
      <c r="B109" s="7" t="s">
        <v>745</v>
      </c>
      <c r="C109" s="7" t="s">
        <v>729</v>
      </c>
    </row>
    <row r="110" spans="1:3" x14ac:dyDescent="0.35">
      <c r="A110" s="7" t="s">
        <v>746</v>
      </c>
      <c r="B110" s="7" t="s">
        <v>747</v>
      </c>
      <c r="C110" s="7" t="s">
        <v>729</v>
      </c>
    </row>
    <row r="111" spans="1:3" x14ac:dyDescent="0.35">
      <c r="A111" s="7" t="s">
        <v>748</v>
      </c>
      <c r="B111" s="7" t="s">
        <v>749</v>
      </c>
      <c r="C111" s="7" t="s">
        <v>729</v>
      </c>
    </row>
    <row r="112" spans="1:3" x14ac:dyDescent="0.35">
      <c r="A112" s="7" t="s">
        <v>750</v>
      </c>
      <c r="B112" s="7" t="s">
        <v>751</v>
      </c>
      <c r="C112" s="7" t="s">
        <v>729</v>
      </c>
    </row>
    <row r="113" spans="1:3" x14ac:dyDescent="0.35">
      <c r="A113" s="7" t="s">
        <v>752</v>
      </c>
      <c r="B113" s="7" t="s">
        <v>753</v>
      </c>
      <c r="C113" s="7" t="s">
        <v>729</v>
      </c>
    </row>
    <row r="114" spans="1:3" x14ac:dyDescent="0.35">
      <c r="A114" s="7" t="s">
        <v>754</v>
      </c>
      <c r="B114" s="7" t="s">
        <v>755</v>
      </c>
      <c r="C114" s="7" t="s">
        <v>729</v>
      </c>
    </row>
    <row r="115" spans="1:3" x14ac:dyDescent="0.35">
      <c r="A115" s="7" t="s">
        <v>756</v>
      </c>
      <c r="B115" s="7" t="s">
        <v>757</v>
      </c>
      <c r="C115" s="7" t="s">
        <v>729</v>
      </c>
    </row>
    <row r="116" spans="1:3" x14ac:dyDescent="0.35">
      <c r="A116" s="7" t="s">
        <v>758</v>
      </c>
      <c r="B116" s="7" t="s">
        <v>759</v>
      </c>
      <c r="C116" s="7" t="s">
        <v>729</v>
      </c>
    </row>
    <row r="117" spans="1:3" x14ac:dyDescent="0.35">
      <c r="A117" s="7" t="s">
        <v>760</v>
      </c>
      <c r="B117" s="7" t="s">
        <v>761</v>
      </c>
      <c r="C117" s="7" t="s">
        <v>729</v>
      </c>
    </row>
    <row r="118" spans="1:3" x14ac:dyDescent="0.35">
      <c r="A118" s="7" t="s">
        <v>762</v>
      </c>
      <c r="B118" s="7" t="s">
        <v>763</v>
      </c>
      <c r="C118" s="7" t="s">
        <v>729</v>
      </c>
    </row>
    <row r="119" spans="1:3" x14ac:dyDescent="0.35">
      <c r="A119" s="7" t="s">
        <v>764</v>
      </c>
      <c r="B119" s="7" t="s">
        <v>765</v>
      </c>
      <c r="C119" s="7" t="s">
        <v>729</v>
      </c>
    </row>
    <row r="120" spans="1:3" x14ac:dyDescent="0.35">
      <c r="A120" s="7" t="s">
        <v>766</v>
      </c>
      <c r="B120" s="7" t="s">
        <v>767</v>
      </c>
      <c r="C120" s="7" t="s">
        <v>729</v>
      </c>
    </row>
    <row r="121" spans="1:3" x14ac:dyDescent="0.35">
      <c r="A121" s="7" t="s">
        <v>768</v>
      </c>
      <c r="B121" s="7" t="s">
        <v>769</v>
      </c>
      <c r="C121" s="7" t="s">
        <v>729</v>
      </c>
    </row>
    <row r="122" spans="1:3" x14ac:dyDescent="0.35">
      <c r="A122" s="7" t="s">
        <v>778</v>
      </c>
      <c r="B122" s="7" t="s">
        <v>779</v>
      </c>
      <c r="C122" s="7" t="s">
        <v>729</v>
      </c>
    </row>
    <row r="123" spans="1:3" x14ac:dyDescent="0.35">
      <c r="A123" s="7" t="s">
        <v>780</v>
      </c>
      <c r="B123" s="7" t="s">
        <v>781</v>
      </c>
      <c r="C123" s="7" t="s">
        <v>729</v>
      </c>
    </row>
    <row r="124" spans="1:3" x14ac:dyDescent="0.35">
      <c r="A124" s="7" t="s">
        <v>782</v>
      </c>
      <c r="B124" s="7" t="s">
        <v>783</v>
      </c>
      <c r="C124" s="7" t="s">
        <v>729</v>
      </c>
    </row>
    <row r="125" spans="1:3" x14ac:dyDescent="0.35">
      <c r="A125" s="7" t="s">
        <v>784</v>
      </c>
      <c r="B125" s="7" t="s">
        <v>785</v>
      </c>
      <c r="C125" s="7" t="s">
        <v>729</v>
      </c>
    </row>
    <row r="126" spans="1:3" x14ac:dyDescent="0.35">
      <c r="A126" s="7" t="s">
        <v>786</v>
      </c>
      <c r="B126" s="7" t="s">
        <v>787</v>
      </c>
      <c r="C126" s="7" t="s">
        <v>729</v>
      </c>
    </row>
    <row r="127" spans="1:3" x14ac:dyDescent="0.35">
      <c r="A127" s="7" t="s">
        <v>788</v>
      </c>
      <c r="B127" s="7" t="s">
        <v>789</v>
      </c>
      <c r="C127" s="7" t="s">
        <v>729</v>
      </c>
    </row>
    <row r="128" spans="1:3" x14ac:dyDescent="0.35">
      <c r="A128" s="7" t="s">
        <v>790</v>
      </c>
      <c r="B128" s="7" t="s">
        <v>791</v>
      </c>
      <c r="C128" s="7" t="s">
        <v>729</v>
      </c>
    </row>
    <row r="129" spans="1:3" x14ac:dyDescent="0.35">
      <c r="A129" s="7" t="s">
        <v>792</v>
      </c>
      <c r="B129" s="7" t="s">
        <v>793</v>
      </c>
      <c r="C129" s="7" t="s">
        <v>729</v>
      </c>
    </row>
    <row r="130" spans="1:3" x14ac:dyDescent="0.35">
      <c r="A130" s="7" t="s">
        <v>794</v>
      </c>
      <c r="B130" s="7" t="s">
        <v>795</v>
      </c>
      <c r="C130" s="7" t="s">
        <v>729</v>
      </c>
    </row>
    <row r="131" spans="1:3" x14ac:dyDescent="0.35">
      <c r="A131" s="7" t="s">
        <v>796</v>
      </c>
      <c r="B131" s="7" t="s">
        <v>797</v>
      </c>
      <c r="C131" s="7" t="s">
        <v>729</v>
      </c>
    </row>
    <row r="132" spans="1:3" x14ac:dyDescent="0.35">
      <c r="A132" s="7" t="s">
        <v>798</v>
      </c>
      <c r="B132" s="7" t="s">
        <v>799</v>
      </c>
      <c r="C132" s="7" t="s">
        <v>729</v>
      </c>
    </row>
    <row r="133" spans="1:3" x14ac:dyDescent="0.35">
      <c r="A133" s="7" t="s">
        <v>800</v>
      </c>
      <c r="B133" s="7" t="s">
        <v>801</v>
      </c>
      <c r="C133" s="7" t="s">
        <v>729</v>
      </c>
    </row>
    <row r="134" spans="1:3" x14ac:dyDescent="0.35">
      <c r="A134" s="7" t="s">
        <v>802</v>
      </c>
      <c r="B134" s="7" t="s">
        <v>803</v>
      </c>
      <c r="C134" s="7" t="s">
        <v>729</v>
      </c>
    </row>
    <row r="135" spans="1:3" x14ac:dyDescent="0.35">
      <c r="A135" s="7" t="s">
        <v>804</v>
      </c>
      <c r="B135" s="7" t="s">
        <v>805</v>
      </c>
      <c r="C135" s="7" t="s">
        <v>729</v>
      </c>
    </row>
    <row r="136" spans="1:3" x14ac:dyDescent="0.35">
      <c r="A136" s="7" t="s">
        <v>806</v>
      </c>
      <c r="B136" s="7" t="s">
        <v>807</v>
      </c>
      <c r="C136" s="7" t="s">
        <v>729</v>
      </c>
    </row>
    <row r="137" spans="1:3" x14ac:dyDescent="0.35">
      <c r="A137" s="7" t="s">
        <v>905</v>
      </c>
      <c r="B137" s="7" t="s">
        <v>906</v>
      </c>
      <c r="C137" s="7" t="s">
        <v>907</v>
      </c>
    </row>
    <row r="138" spans="1:3" x14ac:dyDescent="0.35">
      <c r="A138" s="7" t="s">
        <v>813</v>
      </c>
      <c r="B138" s="7" t="s">
        <v>814</v>
      </c>
      <c r="C138" s="7" t="s">
        <v>815</v>
      </c>
    </row>
    <row r="139" spans="1:3" x14ac:dyDescent="0.35">
      <c r="A139" s="7">
        <v>71061</v>
      </c>
      <c r="B139" s="7" t="s">
        <v>463</v>
      </c>
      <c r="C139" s="7" t="s">
        <v>464</v>
      </c>
    </row>
    <row r="140" spans="1:3" x14ac:dyDescent="0.35">
      <c r="A140" s="7" t="s">
        <v>465</v>
      </c>
      <c r="B140" s="7" t="s">
        <v>466</v>
      </c>
      <c r="C140" s="7" t="s">
        <v>464</v>
      </c>
    </row>
    <row r="141" spans="1:3" x14ac:dyDescent="0.35">
      <c r="A141" s="7" t="s">
        <v>467</v>
      </c>
      <c r="B141" s="7" t="s">
        <v>468</v>
      </c>
      <c r="C141" s="7" t="s">
        <v>464</v>
      </c>
    </row>
    <row r="142" spans="1:3" x14ac:dyDescent="0.35">
      <c r="A142" s="7" t="s">
        <v>469</v>
      </c>
      <c r="B142" s="7" t="s">
        <v>470</v>
      </c>
      <c r="C142" s="7" t="s">
        <v>464</v>
      </c>
    </row>
    <row r="143" spans="1:3" x14ac:dyDescent="0.35">
      <c r="A143" s="7" t="s">
        <v>471</v>
      </c>
      <c r="B143" s="7" t="s">
        <v>472</v>
      </c>
      <c r="C143" s="7" t="s">
        <v>464</v>
      </c>
    </row>
    <row r="144" spans="1:3" x14ac:dyDescent="0.35">
      <c r="A144" s="7" t="s">
        <v>473</v>
      </c>
      <c r="B144" s="7" t="s">
        <v>474</v>
      </c>
      <c r="C144" s="7" t="s">
        <v>464</v>
      </c>
    </row>
    <row r="145" spans="1:3" x14ac:dyDescent="0.35">
      <c r="A145" s="7" t="s">
        <v>475</v>
      </c>
      <c r="B145" s="7" t="s">
        <v>476</v>
      </c>
      <c r="C145" s="7" t="s">
        <v>464</v>
      </c>
    </row>
    <row r="146" spans="1:3" x14ac:dyDescent="0.35">
      <c r="A146" s="7" t="s">
        <v>482</v>
      </c>
      <c r="B146" s="7" t="s">
        <v>483</v>
      </c>
      <c r="C146" s="7" t="s">
        <v>464</v>
      </c>
    </row>
    <row r="147" spans="1:3" x14ac:dyDescent="0.35">
      <c r="A147" s="7" t="s">
        <v>484</v>
      </c>
      <c r="B147" s="7" t="s">
        <v>485</v>
      </c>
      <c r="C147" s="7" t="s">
        <v>464</v>
      </c>
    </row>
    <row r="148" spans="1:3" x14ac:dyDescent="0.35">
      <c r="A148" s="7" t="s">
        <v>486</v>
      </c>
      <c r="B148" s="7" t="s">
        <v>487</v>
      </c>
      <c r="C148" s="7" t="s">
        <v>464</v>
      </c>
    </row>
    <row r="149" spans="1:3" x14ac:dyDescent="0.35">
      <c r="A149" s="7" t="s">
        <v>488</v>
      </c>
      <c r="B149" s="7" t="s">
        <v>489</v>
      </c>
      <c r="C149" s="7" t="s">
        <v>464</v>
      </c>
    </row>
    <row r="150" spans="1:3" x14ac:dyDescent="0.35">
      <c r="A150" s="7" t="s">
        <v>490</v>
      </c>
      <c r="B150" s="7" t="s">
        <v>491</v>
      </c>
      <c r="C150" s="7" t="s">
        <v>464</v>
      </c>
    </row>
    <row r="151" spans="1:3" x14ac:dyDescent="0.35">
      <c r="A151" s="7" t="s">
        <v>492</v>
      </c>
      <c r="B151" s="7" t="s">
        <v>493</v>
      </c>
      <c r="C151" s="7" t="s">
        <v>464</v>
      </c>
    </row>
    <row r="152" spans="1:3" x14ac:dyDescent="0.35">
      <c r="A152" s="7" t="s">
        <v>494</v>
      </c>
      <c r="B152" s="7" t="s">
        <v>495</v>
      </c>
      <c r="C152" s="7" t="s">
        <v>464</v>
      </c>
    </row>
    <row r="153" spans="1:3" x14ac:dyDescent="0.35">
      <c r="A153" s="7" t="s">
        <v>496</v>
      </c>
      <c r="B153" s="7" t="s">
        <v>497</v>
      </c>
      <c r="C153" s="7" t="s">
        <v>464</v>
      </c>
    </row>
    <row r="154" spans="1:3" x14ac:dyDescent="0.35">
      <c r="A154" s="7" t="s">
        <v>521</v>
      </c>
      <c r="B154" s="7" t="s">
        <v>522</v>
      </c>
      <c r="C154" s="7" t="s">
        <v>464</v>
      </c>
    </row>
    <row r="155" spans="1:3" x14ac:dyDescent="0.35">
      <c r="A155" s="7" t="s">
        <v>523</v>
      </c>
      <c r="B155" s="7" t="s">
        <v>524</v>
      </c>
      <c r="C155" s="7" t="s">
        <v>464</v>
      </c>
    </row>
    <row r="156" spans="1:3" x14ac:dyDescent="0.35">
      <c r="A156" s="7" t="s">
        <v>525</v>
      </c>
      <c r="B156" s="7" t="s">
        <v>526</v>
      </c>
      <c r="C156" s="7" t="s">
        <v>464</v>
      </c>
    </row>
    <row r="157" spans="1:3" x14ac:dyDescent="0.35">
      <c r="A157" s="7" t="s">
        <v>540</v>
      </c>
      <c r="B157" s="7" t="s">
        <v>541</v>
      </c>
      <c r="C157" s="7" t="s">
        <v>464</v>
      </c>
    </row>
    <row r="158" spans="1:3" x14ac:dyDescent="0.35">
      <c r="A158" s="7" t="s">
        <v>542</v>
      </c>
      <c r="B158" s="7" t="s">
        <v>543</v>
      </c>
      <c r="C158" s="7" t="s">
        <v>464</v>
      </c>
    </row>
    <row r="159" spans="1:3" x14ac:dyDescent="0.35">
      <c r="A159" s="7" t="s">
        <v>544</v>
      </c>
      <c r="B159" s="7" t="s">
        <v>545</v>
      </c>
      <c r="C159" s="7" t="s">
        <v>464</v>
      </c>
    </row>
    <row r="160" spans="1:3" x14ac:dyDescent="0.35">
      <c r="A160" s="7" t="s">
        <v>546</v>
      </c>
      <c r="B160" s="7" t="s">
        <v>547</v>
      </c>
      <c r="C160" s="7" t="s">
        <v>464</v>
      </c>
    </row>
    <row r="161" spans="1:3" x14ac:dyDescent="0.35">
      <c r="A161" s="7" t="s">
        <v>548</v>
      </c>
      <c r="B161" s="7" t="s">
        <v>549</v>
      </c>
      <c r="C161" s="7" t="s">
        <v>464</v>
      </c>
    </row>
    <row r="162" spans="1:3" x14ac:dyDescent="0.35">
      <c r="A162" s="7" t="s">
        <v>550</v>
      </c>
      <c r="B162" s="7" t="s">
        <v>551</v>
      </c>
      <c r="C162" s="7" t="s">
        <v>464</v>
      </c>
    </row>
    <row r="163" spans="1:3" x14ac:dyDescent="0.35">
      <c r="A163" s="7" t="s">
        <v>710</v>
      </c>
      <c r="B163" s="7" t="s">
        <v>711</v>
      </c>
      <c r="C163" s="7" t="s">
        <v>712</v>
      </c>
    </row>
    <row r="164" spans="1:3" x14ac:dyDescent="0.35">
      <c r="A164" s="7" t="s">
        <v>654</v>
      </c>
      <c r="B164" s="7" t="s">
        <v>655</v>
      </c>
      <c r="C164" s="7" t="s">
        <v>656</v>
      </c>
    </row>
    <row r="165" spans="1:3" x14ac:dyDescent="0.35">
      <c r="A165" s="7">
        <v>1591</v>
      </c>
      <c r="B165" s="7" t="s">
        <v>445</v>
      </c>
      <c r="C165" s="7" t="s">
        <v>446</v>
      </c>
    </row>
    <row r="166" spans="1:3" x14ac:dyDescent="0.35">
      <c r="A166" s="7" t="s">
        <v>770</v>
      </c>
      <c r="B166" s="7" t="s">
        <v>771</v>
      </c>
      <c r="C166" s="7" t="s">
        <v>772</v>
      </c>
    </row>
    <row r="167" spans="1:3" x14ac:dyDescent="0.35">
      <c r="A167" s="7" t="s">
        <v>820</v>
      </c>
      <c r="B167" s="7" t="s">
        <v>821</v>
      </c>
      <c r="C167" s="7" t="s">
        <v>772</v>
      </c>
    </row>
    <row r="168" spans="1:3" x14ac:dyDescent="0.35">
      <c r="A168" s="7" t="s">
        <v>724</v>
      </c>
      <c r="B168" s="7" t="s">
        <v>725</v>
      </c>
      <c r="C168" s="7" t="s">
        <v>726</v>
      </c>
    </row>
    <row r="169" spans="1:3" x14ac:dyDescent="0.35">
      <c r="A169" s="7">
        <v>1513</v>
      </c>
      <c r="B169" s="7" t="s">
        <v>437</v>
      </c>
      <c r="C169" s="4" t="s">
        <v>921</v>
      </c>
    </row>
    <row r="170" spans="1:3" x14ac:dyDescent="0.35">
      <c r="A170" s="7">
        <v>1538</v>
      </c>
      <c r="B170" s="7" t="s">
        <v>441</v>
      </c>
      <c r="C170" s="4" t="s">
        <v>922</v>
      </c>
    </row>
    <row r="171" spans="1:3" x14ac:dyDescent="0.35">
      <c r="A171" s="7">
        <v>1544</v>
      </c>
      <c r="B171" s="7" t="s">
        <v>442</v>
      </c>
      <c r="C171" s="4" t="s">
        <v>923</v>
      </c>
    </row>
    <row r="172" spans="1:3" x14ac:dyDescent="0.35">
      <c r="A172" s="7">
        <v>1547</v>
      </c>
      <c r="B172" s="7" t="s">
        <v>443</v>
      </c>
      <c r="C172" s="4" t="s">
        <v>924</v>
      </c>
    </row>
    <row r="173" spans="1:3" x14ac:dyDescent="0.35">
      <c r="A173" s="7">
        <v>1586</v>
      </c>
      <c r="B173" s="7" t="s">
        <v>444</v>
      </c>
      <c r="C173" s="4" t="s">
        <v>925</v>
      </c>
    </row>
    <row r="174" spans="1:3" x14ac:dyDescent="0.35">
      <c r="A174" s="7">
        <v>1592</v>
      </c>
      <c r="B174" s="7" t="s">
        <v>447</v>
      </c>
      <c r="C174" s="4" t="s">
        <v>926</v>
      </c>
    </row>
    <row r="175" spans="1:3" x14ac:dyDescent="0.35">
      <c r="A175" s="7">
        <v>1595</v>
      </c>
      <c r="B175" s="7" t="s">
        <v>448</v>
      </c>
      <c r="C175" s="4" t="s">
        <v>929</v>
      </c>
    </row>
    <row r="176" spans="1:3" x14ac:dyDescent="0.35">
      <c r="A176" s="7">
        <v>3177</v>
      </c>
      <c r="B176" s="7" t="s">
        <v>449</v>
      </c>
      <c r="C176" s="4" t="s">
        <v>930</v>
      </c>
    </row>
    <row r="177" spans="1:3" x14ac:dyDescent="0.35">
      <c r="A177" s="7">
        <v>6630</v>
      </c>
      <c r="B177" s="7" t="s">
        <v>455</v>
      </c>
      <c r="C177" s="4" t="s">
        <v>931</v>
      </c>
    </row>
    <row r="178" spans="1:3" x14ac:dyDescent="0.35">
      <c r="A178" s="7">
        <v>6631</v>
      </c>
      <c r="B178" s="7" t="s">
        <v>456</v>
      </c>
      <c r="C178" s="4" t="s">
        <v>932</v>
      </c>
    </row>
    <row r="179" spans="1:3" x14ac:dyDescent="0.35">
      <c r="A179" s="7">
        <v>7985</v>
      </c>
      <c r="B179" s="7" t="s">
        <v>588</v>
      </c>
      <c r="C179" s="4" t="s">
        <v>933</v>
      </c>
    </row>
    <row r="180" spans="1:3" x14ac:dyDescent="0.35">
      <c r="A180" s="7">
        <v>9013</v>
      </c>
      <c r="B180" s="7" t="s">
        <v>591</v>
      </c>
      <c r="C180" s="4" t="s">
        <v>934</v>
      </c>
    </row>
    <row r="181" spans="1:3" x14ac:dyDescent="0.35">
      <c r="A181" s="7">
        <v>15003</v>
      </c>
      <c r="B181" s="7" t="s">
        <v>427</v>
      </c>
      <c r="C181" s="4" t="s">
        <v>927</v>
      </c>
    </row>
    <row r="182" spans="1:3" x14ac:dyDescent="0.35">
      <c r="A182" s="7">
        <v>15089</v>
      </c>
      <c r="B182" s="7" t="s">
        <v>432</v>
      </c>
      <c r="C182" s="4" t="s">
        <v>935</v>
      </c>
    </row>
    <row r="183" spans="1:3" x14ac:dyDescent="0.35">
      <c r="A183" s="7">
        <v>15090</v>
      </c>
      <c r="B183" s="7" t="s">
        <v>433</v>
      </c>
      <c r="C183" s="4" t="s">
        <v>936</v>
      </c>
    </row>
    <row r="184" spans="1:3" x14ac:dyDescent="0.35">
      <c r="A184" s="7">
        <v>15091</v>
      </c>
      <c r="B184" s="7" t="s">
        <v>434</v>
      </c>
      <c r="C184" s="4" t="s">
        <v>928</v>
      </c>
    </row>
    <row r="185" spans="1:3" x14ac:dyDescent="0.35">
      <c r="A185" s="7">
        <v>15133</v>
      </c>
      <c r="B185" s="7" t="s">
        <v>438</v>
      </c>
      <c r="C185" s="4" t="s">
        <v>940</v>
      </c>
    </row>
    <row r="186" spans="1:3" x14ac:dyDescent="0.35">
      <c r="A186" s="7">
        <v>71069</v>
      </c>
      <c r="B186" s="7" t="s">
        <v>477</v>
      </c>
      <c r="C186" s="4" t="s">
        <v>941</v>
      </c>
    </row>
    <row r="187" spans="1:3" x14ac:dyDescent="0.35">
      <c r="A187" s="7">
        <v>71108</v>
      </c>
      <c r="B187" s="7" t="s">
        <v>498</v>
      </c>
      <c r="C187" s="4" t="s">
        <v>942</v>
      </c>
    </row>
    <row r="188" spans="1:3" x14ac:dyDescent="0.35">
      <c r="A188" s="7">
        <v>71111</v>
      </c>
      <c r="B188" s="7" t="s">
        <v>501</v>
      </c>
      <c r="C188" s="4" t="s">
        <v>943</v>
      </c>
    </row>
    <row r="189" spans="1:3" x14ac:dyDescent="0.35">
      <c r="A189" s="7">
        <v>71113</v>
      </c>
      <c r="B189" s="7" t="s">
        <v>502</v>
      </c>
      <c r="C189" s="4" t="s">
        <v>944</v>
      </c>
    </row>
    <row r="190" spans="1:3" x14ac:dyDescent="0.35">
      <c r="A190" s="7">
        <v>71118</v>
      </c>
      <c r="B190" s="7" t="s">
        <v>503</v>
      </c>
      <c r="C190" s="4" t="s">
        <v>945</v>
      </c>
    </row>
    <row r="191" spans="1:3" x14ac:dyDescent="0.35">
      <c r="A191" s="7">
        <v>71131</v>
      </c>
      <c r="B191" s="7" t="s">
        <v>512</v>
      </c>
      <c r="C191" s="4" t="s">
        <v>946</v>
      </c>
    </row>
    <row r="192" spans="1:3" x14ac:dyDescent="0.35">
      <c r="A192" s="7">
        <v>71142</v>
      </c>
      <c r="B192" s="7" t="s">
        <v>515</v>
      </c>
      <c r="C192" s="4" t="s">
        <v>947</v>
      </c>
    </row>
    <row r="193" spans="1:3" x14ac:dyDescent="0.35">
      <c r="A193" s="7">
        <v>71150</v>
      </c>
      <c r="B193" s="7" t="s">
        <v>518</v>
      </c>
      <c r="C193" s="4" t="s">
        <v>948</v>
      </c>
    </row>
    <row r="194" spans="1:3" x14ac:dyDescent="0.35">
      <c r="A194" s="7">
        <v>71163</v>
      </c>
      <c r="B194" s="7" t="s">
        <v>527</v>
      </c>
      <c r="C194" s="4" t="s">
        <v>949</v>
      </c>
    </row>
    <row r="195" spans="1:3" x14ac:dyDescent="0.35">
      <c r="A195" s="7">
        <v>71165</v>
      </c>
      <c r="B195" s="7" t="s">
        <v>533</v>
      </c>
      <c r="C195" s="4" t="s">
        <v>950</v>
      </c>
    </row>
    <row r="196" spans="1:3" x14ac:dyDescent="0.35">
      <c r="A196" s="7">
        <v>71176</v>
      </c>
      <c r="B196" s="7" t="s">
        <v>552</v>
      </c>
      <c r="C196" s="4" t="s">
        <v>951</v>
      </c>
    </row>
    <row r="197" spans="1:3" x14ac:dyDescent="0.35">
      <c r="A197" s="7">
        <v>71177</v>
      </c>
      <c r="B197" s="7" t="s">
        <v>553</v>
      </c>
      <c r="C197" s="4" t="s">
        <v>952</v>
      </c>
    </row>
    <row r="198" spans="1:3" x14ac:dyDescent="0.35">
      <c r="A198" s="7">
        <v>71179</v>
      </c>
      <c r="B198" s="7" t="s">
        <v>554</v>
      </c>
      <c r="C198" s="4" t="s">
        <v>953</v>
      </c>
    </row>
    <row r="199" spans="1:3" x14ac:dyDescent="0.35">
      <c r="A199" s="7">
        <v>71189</v>
      </c>
      <c r="B199" s="7" t="s">
        <v>559</v>
      </c>
      <c r="C199" s="4" t="s">
        <v>954</v>
      </c>
    </row>
    <row r="200" spans="1:3" x14ac:dyDescent="0.35">
      <c r="A200" s="7">
        <v>71205</v>
      </c>
      <c r="B200" s="7" t="s">
        <v>565</v>
      </c>
      <c r="C200" s="4" t="s">
        <v>955</v>
      </c>
    </row>
    <row r="201" spans="1:3" x14ac:dyDescent="0.35">
      <c r="A201" s="7" t="s">
        <v>453</v>
      </c>
      <c r="B201" s="7" t="s">
        <v>454</v>
      </c>
      <c r="C201" s="4" t="s">
        <v>956</v>
      </c>
    </row>
    <row r="202" spans="1:3" x14ac:dyDescent="0.35">
      <c r="A202" s="7" t="s">
        <v>504</v>
      </c>
      <c r="B202" s="7" t="s">
        <v>505</v>
      </c>
      <c r="C202" s="4" t="s">
        <v>945</v>
      </c>
    </row>
    <row r="203" spans="1:3" x14ac:dyDescent="0.35">
      <c r="A203" s="7" t="s">
        <v>506</v>
      </c>
      <c r="B203" s="7" t="s">
        <v>507</v>
      </c>
      <c r="C203" s="4" t="s">
        <v>945</v>
      </c>
    </row>
    <row r="204" spans="1:3" x14ac:dyDescent="0.35">
      <c r="A204" s="7" t="s">
        <v>592</v>
      </c>
      <c r="B204" s="7" t="s">
        <v>593</v>
      </c>
      <c r="C204" s="4" t="s">
        <v>957</v>
      </c>
    </row>
    <row r="205" spans="1:3" x14ac:dyDescent="0.35">
      <c r="A205" s="7" t="s">
        <v>594</v>
      </c>
      <c r="B205" s="7" t="s">
        <v>595</v>
      </c>
      <c r="C205" s="4" t="s">
        <v>958</v>
      </c>
    </row>
    <row r="206" spans="1:3" x14ac:dyDescent="0.35">
      <c r="A206" s="7" t="s">
        <v>599</v>
      </c>
      <c r="B206" s="7" t="s">
        <v>600</v>
      </c>
      <c r="C206" s="4" t="s">
        <v>959</v>
      </c>
    </row>
    <row r="207" spans="1:3" x14ac:dyDescent="0.35">
      <c r="A207" s="7" t="s">
        <v>601</v>
      </c>
      <c r="B207" s="7" t="s">
        <v>602</v>
      </c>
      <c r="C207" s="4" t="s">
        <v>960</v>
      </c>
    </row>
    <row r="208" spans="1:3" x14ac:dyDescent="0.35">
      <c r="A208" s="7" t="s">
        <v>603</v>
      </c>
      <c r="B208" s="7" t="s">
        <v>604</v>
      </c>
      <c r="C208" s="4" t="s">
        <v>961</v>
      </c>
    </row>
    <row r="209" spans="1:3" x14ac:dyDescent="0.35">
      <c r="A209" s="7" t="s">
        <v>608</v>
      </c>
      <c r="B209" s="7" t="s">
        <v>609</v>
      </c>
      <c r="C209" s="4" t="s">
        <v>962</v>
      </c>
    </row>
    <row r="210" spans="1:3" x14ac:dyDescent="0.35">
      <c r="A210" s="7" t="s">
        <v>613</v>
      </c>
      <c r="B210" s="7" t="s">
        <v>614</v>
      </c>
      <c r="C210" s="4" t="s">
        <v>963</v>
      </c>
    </row>
    <row r="211" spans="1:3" x14ac:dyDescent="0.35">
      <c r="A211" s="7" t="s">
        <v>621</v>
      </c>
      <c r="B211" s="7" t="s">
        <v>622</v>
      </c>
      <c r="C211" s="4" t="s">
        <v>964</v>
      </c>
    </row>
    <row r="212" spans="1:3" x14ac:dyDescent="0.35">
      <c r="A212" s="7" t="s">
        <v>623</v>
      </c>
      <c r="B212" s="7" t="s">
        <v>624</v>
      </c>
      <c r="C212" s="4" t="s">
        <v>965</v>
      </c>
    </row>
    <row r="213" spans="1:3" x14ac:dyDescent="0.35">
      <c r="A213" s="7" t="s">
        <v>625</v>
      </c>
      <c r="B213" s="7" t="s">
        <v>626</v>
      </c>
      <c r="C213" s="4" t="s">
        <v>966</v>
      </c>
    </row>
    <row r="214" spans="1:3" x14ac:dyDescent="0.35">
      <c r="A214" s="7" t="s">
        <v>627</v>
      </c>
      <c r="B214" s="7" t="s">
        <v>628</v>
      </c>
      <c r="C214" s="4" t="s">
        <v>937</v>
      </c>
    </row>
    <row r="215" spans="1:3" x14ac:dyDescent="0.35">
      <c r="A215" s="7" t="s">
        <v>629</v>
      </c>
      <c r="B215" s="7" t="s">
        <v>630</v>
      </c>
      <c r="C215" s="4" t="s">
        <v>937</v>
      </c>
    </row>
    <row r="216" spans="1:3" x14ac:dyDescent="0.35">
      <c r="A216" s="7" t="s">
        <v>631</v>
      </c>
      <c r="B216" s="7" t="s">
        <v>632</v>
      </c>
      <c r="C216" s="4" t="s">
        <v>937</v>
      </c>
    </row>
    <row r="217" spans="1:3" x14ac:dyDescent="0.35">
      <c r="A217" s="7" t="s">
        <v>633</v>
      </c>
      <c r="B217" s="7" t="s">
        <v>634</v>
      </c>
      <c r="C217" s="4" t="s">
        <v>937</v>
      </c>
    </row>
    <row r="218" spans="1:3" x14ac:dyDescent="0.35">
      <c r="A218" s="7" t="s">
        <v>635</v>
      </c>
      <c r="B218" s="7" t="s">
        <v>636</v>
      </c>
      <c r="C218" s="4" t="s">
        <v>937</v>
      </c>
    </row>
    <row r="219" spans="1:3" x14ac:dyDescent="0.35">
      <c r="A219" s="7" t="s">
        <v>643</v>
      </c>
      <c r="B219" s="7" t="s">
        <v>619</v>
      </c>
      <c r="C219" s="4" t="s">
        <v>967</v>
      </c>
    </row>
    <row r="220" spans="1:3" x14ac:dyDescent="0.35">
      <c r="A220" s="7" t="s">
        <v>644</v>
      </c>
      <c r="B220" s="7" t="s">
        <v>645</v>
      </c>
      <c r="C220" s="4" t="s">
        <v>968</v>
      </c>
    </row>
    <row r="221" spans="1:3" x14ac:dyDescent="0.35">
      <c r="A221" s="7" t="s">
        <v>646</v>
      </c>
      <c r="B221" s="7" t="s">
        <v>647</v>
      </c>
      <c r="C221" s="4" t="s">
        <v>969</v>
      </c>
    </row>
    <row r="222" spans="1:3" x14ac:dyDescent="0.35">
      <c r="A222" s="7" t="s">
        <v>648</v>
      </c>
      <c r="B222" s="7" t="s">
        <v>619</v>
      </c>
      <c r="C222" s="4" t="s">
        <v>967</v>
      </c>
    </row>
    <row r="223" spans="1:3" x14ac:dyDescent="0.35">
      <c r="A223" s="7" t="s">
        <v>657</v>
      </c>
      <c r="B223" s="7" t="s">
        <v>658</v>
      </c>
      <c r="C223" s="4" t="s">
        <v>970</v>
      </c>
    </row>
    <row r="224" spans="1:3" x14ac:dyDescent="0.35">
      <c r="A224" s="7" t="s">
        <v>659</v>
      </c>
      <c r="B224" s="7" t="s">
        <v>660</v>
      </c>
      <c r="C224" s="4" t="s">
        <v>971</v>
      </c>
    </row>
    <row r="225" spans="1:3" x14ac:dyDescent="0.35">
      <c r="A225" s="7" t="s">
        <v>661</v>
      </c>
      <c r="B225" s="7" t="s">
        <v>662</v>
      </c>
      <c r="C225" s="4" t="s">
        <v>972</v>
      </c>
    </row>
    <row r="226" spans="1:3" x14ac:dyDescent="0.35">
      <c r="A226" s="7" t="s">
        <v>663</v>
      </c>
      <c r="B226" s="7" t="s">
        <v>664</v>
      </c>
      <c r="C226" s="4" t="s">
        <v>973</v>
      </c>
    </row>
    <row r="227" spans="1:3" x14ac:dyDescent="0.35">
      <c r="A227" s="7" t="s">
        <v>665</v>
      </c>
      <c r="B227" s="7" t="s">
        <v>666</v>
      </c>
      <c r="C227" s="4" t="s">
        <v>974</v>
      </c>
    </row>
    <row r="228" spans="1:3" x14ac:dyDescent="0.35">
      <c r="A228" s="7" t="s">
        <v>672</v>
      </c>
      <c r="B228" s="7" t="s">
        <v>673</v>
      </c>
      <c r="C228" s="4" t="s">
        <v>975</v>
      </c>
    </row>
    <row r="229" spans="1:3" x14ac:dyDescent="0.35">
      <c r="A229" s="7" t="s">
        <v>680</v>
      </c>
      <c r="B229" s="7" t="s">
        <v>681</v>
      </c>
      <c r="C229" s="4" t="s">
        <v>976</v>
      </c>
    </row>
    <row r="230" spans="1:3" x14ac:dyDescent="0.35">
      <c r="A230" s="7" t="s">
        <v>699</v>
      </c>
      <c r="B230" s="7" t="s">
        <v>700</v>
      </c>
      <c r="C230" s="4" t="s">
        <v>977</v>
      </c>
    </row>
    <row r="231" spans="1:3" x14ac:dyDescent="0.35">
      <c r="A231" s="7" t="s">
        <v>704</v>
      </c>
      <c r="B231" s="7" t="s">
        <v>705</v>
      </c>
      <c r="C231" s="4" t="s">
        <v>978</v>
      </c>
    </row>
    <row r="232" spans="1:3" x14ac:dyDescent="0.35">
      <c r="A232" s="7" t="s">
        <v>706</v>
      </c>
      <c r="B232" s="7" t="s">
        <v>707</v>
      </c>
      <c r="C232" s="4" t="s">
        <v>979</v>
      </c>
    </row>
    <row r="233" spans="1:3" x14ac:dyDescent="0.35">
      <c r="A233" s="7" t="s">
        <v>708</v>
      </c>
      <c r="B233" s="7" t="s">
        <v>709</v>
      </c>
      <c r="C233" s="4" t="s">
        <v>980</v>
      </c>
    </row>
    <row r="234" spans="1:3" x14ac:dyDescent="0.35">
      <c r="A234" s="7" t="s">
        <v>713</v>
      </c>
      <c r="B234" s="7" t="s">
        <v>714</v>
      </c>
      <c r="C234" s="4" t="s">
        <v>981</v>
      </c>
    </row>
    <row r="235" spans="1:3" x14ac:dyDescent="0.35">
      <c r="A235" s="7" t="s">
        <v>715</v>
      </c>
      <c r="B235" s="7" t="s">
        <v>716</v>
      </c>
      <c r="C235" s="4" t="s">
        <v>982</v>
      </c>
    </row>
    <row r="236" spans="1:3" x14ac:dyDescent="0.35">
      <c r="A236" s="7" t="s">
        <v>717</v>
      </c>
      <c r="B236" s="7" t="s">
        <v>718</v>
      </c>
      <c r="C236" s="4" t="s">
        <v>983</v>
      </c>
    </row>
    <row r="237" spans="1:3" x14ac:dyDescent="0.35">
      <c r="A237" s="7" t="s">
        <v>722</v>
      </c>
      <c r="B237" s="7" t="s">
        <v>723</v>
      </c>
      <c r="C237" s="4" t="s">
        <v>984</v>
      </c>
    </row>
    <row r="238" spans="1:3" x14ac:dyDescent="0.35">
      <c r="A238" s="7" t="s">
        <v>773</v>
      </c>
      <c r="B238" s="7" t="s">
        <v>774</v>
      </c>
      <c r="C238" s="4" t="s">
        <v>985</v>
      </c>
    </row>
    <row r="239" spans="1:3" x14ac:dyDescent="0.35">
      <c r="A239" s="7" t="s">
        <v>808</v>
      </c>
      <c r="B239" s="7" t="s">
        <v>809</v>
      </c>
      <c r="C239" s="4" t="s">
        <v>986</v>
      </c>
    </row>
    <row r="240" spans="1:3" x14ac:dyDescent="0.35">
      <c r="A240" s="7" t="s">
        <v>816</v>
      </c>
      <c r="B240" s="7" t="s">
        <v>817</v>
      </c>
      <c r="C240" s="4" t="s">
        <v>987</v>
      </c>
    </row>
    <row r="241" spans="1:3" x14ac:dyDescent="0.35">
      <c r="A241" s="7" t="s">
        <v>818</v>
      </c>
      <c r="B241" s="7" t="s">
        <v>819</v>
      </c>
      <c r="C241" s="4" t="s">
        <v>997</v>
      </c>
    </row>
    <row r="242" spans="1:3" x14ac:dyDescent="0.35">
      <c r="A242" s="7" t="s">
        <v>822</v>
      </c>
      <c r="B242" s="7" t="s">
        <v>823</v>
      </c>
      <c r="C242" s="4" t="s">
        <v>988</v>
      </c>
    </row>
    <row r="243" spans="1:3" x14ac:dyDescent="0.35">
      <c r="A243" s="7" t="s">
        <v>830</v>
      </c>
      <c r="B243" s="7" t="s">
        <v>831</v>
      </c>
      <c r="C243" s="4" t="s">
        <v>989</v>
      </c>
    </row>
    <row r="244" spans="1:3" x14ac:dyDescent="0.35">
      <c r="A244" s="7" t="s">
        <v>832</v>
      </c>
      <c r="B244" s="7" t="s">
        <v>833</v>
      </c>
      <c r="C244" s="4" t="s">
        <v>990</v>
      </c>
    </row>
    <row r="245" spans="1:3" x14ac:dyDescent="0.35">
      <c r="A245" s="7" t="s">
        <v>843</v>
      </c>
      <c r="B245" s="7" t="s">
        <v>844</v>
      </c>
      <c r="C245" s="4" t="s">
        <v>991</v>
      </c>
    </row>
    <row r="246" spans="1:3" x14ac:dyDescent="0.35">
      <c r="A246" s="7" t="s">
        <v>845</v>
      </c>
      <c r="B246" s="7" t="s">
        <v>846</v>
      </c>
      <c r="C246" s="4" t="s">
        <v>992</v>
      </c>
    </row>
    <row r="247" spans="1:3" x14ac:dyDescent="0.35">
      <c r="A247" s="7" t="s">
        <v>895</v>
      </c>
      <c r="B247" s="7" t="s">
        <v>896</v>
      </c>
      <c r="C247" s="4" t="s">
        <v>993</v>
      </c>
    </row>
    <row r="248" spans="1:3" x14ac:dyDescent="0.35">
      <c r="A248" s="7" t="s">
        <v>897</v>
      </c>
      <c r="B248" s="7" t="s">
        <v>898</v>
      </c>
      <c r="C248" s="4" t="s">
        <v>994</v>
      </c>
    </row>
    <row r="249" spans="1:3" x14ac:dyDescent="0.35">
      <c r="A249" s="7" t="s">
        <v>908</v>
      </c>
      <c r="B249" s="7" t="s">
        <v>909</v>
      </c>
      <c r="C249" s="4" t="s">
        <v>995</v>
      </c>
    </row>
    <row r="250" spans="1:3" x14ac:dyDescent="0.35">
      <c r="A250" s="7" t="s">
        <v>916</v>
      </c>
      <c r="B250" s="7" t="s">
        <v>917</v>
      </c>
      <c r="C250" s="4" t="s">
        <v>996</v>
      </c>
    </row>
  </sheetData>
  <sortState xmlns:xlrd2="http://schemas.microsoft.com/office/spreadsheetml/2017/richdata2" ref="A2:C252">
    <sortCondition ref="C2:C252"/>
    <sortCondition ref="A2:A252"/>
  </sortState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A478-A325-45A4-AEF5-6DFBF4B09F89}">
  <dimension ref="A1:E3"/>
  <sheetViews>
    <sheetView workbookViewId="0">
      <selection activeCell="E1" sqref="E1:E3"/>
    </sheetView>
  </sheetViews>
  <sheetFormatPr defaultRowHeight="14.5" x14ac:dyDescent="0.35"/>
  <cols>
    <col min="1" max="1" width="39.81640625" customWidth="1"/>
    <col min="3" max="3" width="57.7265625" customWidth="1"/>
    <col min="5" max="5" width="186.54296875" customWidth="1"/>
  </cols>
  <sheetData>
    <row r="1" spans="1:5" x14ac:dyDescent="0.35">
      <c r="A1" t="s">
        <v>74</v>
      </c>
      <c r="C1" t="str">
        <f>_xlfn.TEXTJOIN("",FALSE,"""",TRIM(A1),""",")</f>
        <v>"BUS_CREDIT",</v>
      </c>
      <c r="E1" t="str">
        <f>_xlfn.TEXTJOIN("",FALSE,"update dbo.MCLProductCodes set ProductType='Business Reports' where ProductCode='",TRIM(A1),"'")</f>
        <v>update dbo.MCLProductCodes set ProductType='Business Reports' where ProductCode='BUS_CREDIT'</v>
      </c>
    </row>
    <row r="2" spans="1:5" x14ac:dyDescent="0.35">
      <c r="A2" t="s">
        <v>79</v>
      </c>
      <c r="C2" t="str">
        <f>_xlfn.TEXTJOIN("",FALSE,"""",TRIM(A2),""",")</f>
        <v>"BUSINESS REPORT",</v>
      </c>
      <c r="E2" t="str">
        <f>_xlfn.TEXTJOIN("",FALSE,"update dbo.MCLProductCodes set ProductType='Business Reports' where ProductCode='",TRIM(A2),"'")</f>
        <v>update dbo.MCLProductCodes set ProductType='Business Reports' where ProductCode='BUSINESS REPORT'</v>
      </c>
    </row>
    <row r="3" spans="1:5" x14ac:dyDescent="0.35">
      <c r="A3" s="10" t="s">
        <v>1027</v>
      </c>
      <c r="C3" t="str">
        <f>_xlfn.TEXTJOIN("",FALSE,"""",TRIM(A3),""",")</f>
        <v>"BUSINESS CREDIT WITH INTELLISCORE",</v>
      </c>
      <c r="E3" t="str">
        <f>_xlfn.TEXTJOIN("",FALSE,"update dbo.MCLProductCodes set ProductType='Business Reports' where ProductCode='",TRIM(A3),"'")</f>
        <v>update dbo.MCLProductCodes set ProductType='Business Reports' where ProductCode='BUSINESS CREDIT WITH INTELLISCORE'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E29B-E6A7-4A5E-917C-346763C40951}">
  <dimension ref="A1:B13"/>
  <sheetViews>
    <sheetView workbookViewId="0">
      <selection activeCell="A14" sqref="A14"/>
    </sheetView>
  </sheetViews>
  <sheetFormatPr defaultRowHeight="14.5" x14ac:dyDescent="0.35"/>
  <cols>
    <col min="1" max="1" width="57.26953125" customWidth="1"/>
    <col min="2" max="2" width="100.1796875" customWidth="1"/>
  </cols>
  <sheetData>
    <row r="1" spans="1:2" x14ac:dyDescent="0.35">
      <c r="A1" s="1" t="s">
        <v>939</v>
      </c>
      <c r="B1" s="1" t="s">
        <v>369</v>
      </c>
    </row>
    <row r="2" spans="1:2" x14ac:dyDescent="0.35">
      <c r="A2" t="s">
        <v>167</v>
      </c>
      <c r="B2" t="s">
        <v>372</v>
      </c>
    </row>
    <row r="3" spans="1:2" x14ac:dyDescent="0.35">
      <c r="A3" t="s">
        <v>133</v>
      </c>
    </row>
    <row r="4" spans="1:2" x14ac:dyDescent="0.35">
      <c r="A4" t="s">
        <v>150</v>
      </c>
    </row>
    <row r="5" spans="1:2" x14ac:dyDescent="0.35">
      <c r="A5" t="s">
        <v>366</v>
      </c>
    </row>
    <row r="6" spans="1:2" x14ac:dyDescent="0.35">
      <c r="A6" t="s">
        <v>368</v>
      </c>
      <c r="B6" t="s">
        <v>370</v>
      </c>
    </row>
    <row r="7" spans="1:2" x14ac:dyDescent="0.35">
      <c r="A7" t="s">
        <v>1171</v>
      </c>
    </row>
    <row r="8" spans="1:2" x14ac:dyDescent="0.35">
      <c r="A8" t="s">
        <v>1095</v>
      </c>
    </row>
    <row r="9" spans="1:2" x14ac:dyDescent="0.35">
      <c r="A9" t="s">
        <v>1096</v>
      </c>
    </row>
    <row r="10" spans="1:2" x14ac:dyDescent="0.35">
      <c r="A10" t="s">
        <v>1097</v>
      </c>
    </row>
    <row r="11" spans="1:2" x14ac:dyDescent="0.35">
      <c r="A11" t="s">
        <v>1098</v>
      </c>
    </row>
    <row r="12" spans="1:2" x14ac:dyDescent="0.35">
      <c r="A12" t="s">
        <v>1099</v>
      </c>
    </row>
    <row r="13" spans="1:2" x14ac:dyDescent="0.35">
      <c r="A13" t="s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 Producrt Codes</vt:lpstr>
      <vt:lpstr>Cascade Alerts</vt:lpstr>
      <vt:lpstr>Property</vt:lpstr>
      <vt:lpstr>CreditXpert</vt:lpstr>
      <vt:lpstr>Flood</vt:lpstr>
      <vt:lpstr>Fraud</vt:lpstr>
      <vt:lpstr>Other Verifications</vt:lpstr>
      <vt:lpstr>FICO</vt:lpstr>
      <vt:lpstr>Integration Fees</vt:lpstr>
      <vt:lpstr>ScoreNavigator</vt:lpstr>
      <vt:lpstr>Credit Reports</vt:lpstr>
      <vt:lpstr>CAM Credit Reports</vt:lpstr>
      <vt:lpstr>Credit Report Units</vt:lpstr>
      <vt:lpstr>Prequal Reports</vt:lpstr>
      <vt:lpstr>Since 01-01-2026</vt:lpstr>
      <vt:lpstr>TRV</vt:lpstr>
      <vt:lpstr>QC</vt:lpstr>
      <vt:lpstr>SSN Verification</vt:lpstr>
      <vt:lpstr>UDM</vt:lpstr>
      <vt:lpstr>VOIE</vt:lpstr>
      <vt:lpstr>VOE Customers</vt:lpstr>
      <vt:lpstr>Business Reports</vt:lpstr>
      <vt:lpstr>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Donnan</dc:creator>
  <cp:lastModifiedBy>Ron Carlson</cp:lastModifiedBy>
  <dcterms:created xsi:type="dcterms:W3CDTF">2015-06-05T18:17:20Z</dcterms:created>
  <dcterms:modified xsi:type="dcterms:W3CDTF">2026-07-14T21:22:57Z</dcterms:modified>
</cp:coreProperties>
</file>